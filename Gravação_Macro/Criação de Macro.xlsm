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amon\OneDrive\Área de Trabalho\Nova pasta\Atividade\Excel\"/>
    </mc:Choice>
  </mc:AlternateContent>
  <xr:revisionPtr revIDLastSave="0" documentId="13_ncr:1_{C613CB2B-4C69-4704-9CF3-6AD714BD3AE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riação de MACRO - Cadastro" sheetId="2" r:id="rId1"/>
    <sheet name="Carteira de Clientes" sheetId="4" r:id="rId2"/>
    <sheet name="Valor Criptomoeda" sheetId="6" r:id="rId3"/>
  </sheets>
  <definedNames>
    <definedName name="crypto" localSheetId="2">'Valor Criptomoeda'!$A$1:$J$11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4" l="1"/>
  <c r="D250" i="4" s="1"/>
  <c r="H2" i="4"/>
  <c r="D242" i="4" s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2" i="2"/>
  <c r="D16" i="4" l="1"/>
  <c r="D2" i="4"/>
  <c r="D488" i="4"/>
  <c r="D378" i="4"/>
  <c r="D458" i="4"/>
  <c r="D314" i="4"/>
  <c r="D439" i="4"/>
  <c r="D416" i="4"/>
  <c r="D415" i="4"/>
  <c r="D490" i="4"/>
  <c r="D386" i="4"/>
  <c r="D474" i="4"/>
  <c r="D322" i="4"/>
  <c r="D258" i="4"/>
  <c r="D434" i="4"/>
  <c r="D3" i="4"/>
  <c r="D19" i="4"/>
  <c r="D35" i="4"/>
  <c r="D59" i="4"/>
  <c r="D91" i="4"/>
  <c r="D99" i="4"/>
  <c r="D107" i="4"/>
  <c r="D123" i="4"/>
  <c r="D139" i="4"/>
  <c r="D155" i="4"/>
  <c r="D171" i="4"/>
  <c r="D187" i="4"/>
  <c r="D195" i="4"/>
  <c r="D203" i="4"/>
  <c r="D211" i="4"/>
  <c r="D219" i="4"/>
  <c r="D227" i="4"/>
  <c r="D235" i="4"/>
  <c r="D243" i="4"/>
  <c r="D251" i="4"/>
  <c r="D259" i="4"/>
  <c r="D267" i="4"/>
  <c r="D283" i="4"/>
  <c r="D291" i="4"/>
  <c r="D299" i="4"/>
  <c r="D315" i="4"/>
  <c r="D347" i="4"/>
  <c r="D355" i="4"/>
  <c r="D371" i="4"/>
  <c r="D379" i="4"/>
  <c r="D403" i="4"/>
  <c r="D411" i="4"/>
  <c r="D427" i="4"/>
  <c r="D443" i="4"/>
  <c r="D451" i="4"/>
  <c r="D467" i="4"/>
  <c r="D475" i="4"/>
  <c r="D491" i="4"/>
  <c r="D499" i="4"/>
  <c r="D70" i="4"/>
  <c r="D78" i="4"/>
  <c r="D102" i="4"/>
  <c r="D110" i="4"/>
  <c r="D134" i="4"/>
  <c r="D286" i="4"/>
  <c r="D374" i="4"/>
  <c r="D4" i="4"/>
  <c r="D12" i="4"/>
  <c r="D36" i="4"/>
  <c r="D68" i="4"/>
  <c r="D92" i="4"/>
  <c r="D100" i="4"/>
  <c r="D108" i="4"/>
  <c r="D148" i="4"/>
  <c r="D164" i="4"/>
  <c r="D180" i="4"/>
  <c r="D188" i="4"/>
  <c r="D196" i="4"/>
  <c r="D204" i="4"/>
  <c r="D212" i="4"/>
  <c r="D236" i="4"/>
  <c r="D244" i="4"/>
  <c r="D276" i="4"/>
  <c r="D284" i="4"/>
  <c r="D292" i="4"/>
  <c r="D300" i="4"/>
  <c r="D340" i="4"/>
  <c r="D348" i="4"/>
  <c r="D364" i="4"/>
  <c r="D372" i="4"/>
  <c r="D380" i="4"/>
  <c r="D396" i="4"/>
  <c r="D436" i="4"/>
  <c r="D476" i="4"/>
  <c r="D500" i="4"/>
  <c r="D54" i="4"/>
  <c r="D94" i="4"/>
  <c r="D166" i="4"/>
  <c r="D238" i="4"/>
  <c r="D294" i="4"/>
  <c r="D326" i="4"/>
  <c r="D406" i="4"/>
  <c r="D430" i="4"/>
  <c r="D454" i="4"/>
  <c r="D5" i="4"/>
  <c r="D21" i="4"/>
  <c r="D29" i="4"/>
  <c r="D37" i="4"/>
  <c r="D61" i="4"/>
  <c r="D69" i="4"/>
  <c r="D77" i="4"/>
  <c r="D125" i="4"/>
  <c r="D133" i="4"/>
  <c r="D141" i="4"/>
  <c r="D157" i="4"/>
  <c r="D165" i="4"/>
  <c r="D173" i="4"/>
  <c r="D221" i="4"/>
  <c r="D229" i="4"/>
  <c r="D261" i="4"/>
  <c r="D269" i="4"/>
  <c r="D317" i="4"/>
  <c r="D325" i="4"/>
  <c r="D341" i="4"/>
  <c r="D357" i="4"/>
  <c r="D365" i="4"/>
  <c r="D381" i="4"/>
  <c r="D413" i="4"/>
  <c r="D437" i="4"/>
  <c r="D485" i="4"/>
  <c r="D501" i="4"/>
  <c r="D86" i="4"/>
  <c r="D174" i="4"/>
  <c r="D206" i="4"/>
  <c r="D230" i="4"/>
  <c r="D254" i="4"/>
  <c r="D366" i="4"/>
  <c r="D414" i="4"/>
  <c r="D438" i="4"/>
  <c r="D14" i="4"/>
  <c r="D30" i="4"/>
  <c r="D46" i="4"/>
  <c r="D7" i="4"/>
  <c r="D23" i="4"/>
  <c r="D31" i="4"/>
  <c r="D39" i="4"/>
  <c r="D47" i="4"/>
  <c r="D55" i="4"/>
  <c r="D63" i="4"/>
  <c r="D79" i="4"/>
  <c r="D95" i="4"/>
  <c r="D103" i="4"/>
  <c r="D111" i="4"/>
  <c r="D119" i="4"/>
  <c r="D127" i="4"/>
  <c r="D151" i="4"/>
  <c r="D167" i="4"/>
  <c r="D183" i="4"/>
  <c r="D207" i="4"/>
  <c r="D215" i="4"/>
  <c r="D239" i="4"/>
  <c r="D247" i="4"/>
  <c r="D255" i="4"/>
  <c r="D263" i="4"/>
  <c r="D271" i="4"/>
  <c r="D287" i="4"/>
  <c r="D311" i="4"/>
  <c r="D319" i="4"/>
  <c r="D327" i="4"/>
  <c r="D343" i="4"/>
  <c r="D359" i="4"/>
  <c r="D367" i="4"/>
  <c r="D391" i="4"/>
  <c r="D407" i="4"/>
  <c r="D32" i="4"/>
  <c r="D48" i="4"/>
  <c r="D64" i="4"/>
  <c r="D88" i="4"/>
  <c r="D96" i="4"/>
  <c r="D104" i="4"/>
  <c r="D112" i="4"/>
  <c r="D120" i="4"/>
  <c r="D136" i="4"/>
  <c r="D152" i="4"/>
  <c r="D192" i="4"/>
  <c r="D200" i="4"/>
  <c r="D216" i="4"/>
  <c r="D232" i="4"/>
  <c r="D248" i="4"/>
  <c r="D264" i="4"/>
  <c r="D272" i="4"/>
  <c r="D288" i="4"/>
  <c r="D304" i="4"/>
  <c r="D320" i="4"/>
  <c r="D360" i="4"/>
  <c r="D9" i="4"/>
  <c r="D17" i="4"/>
  <c r="D33" i="4"/>
  <c r="D41" i="4"/>
  <c r="D65" i="4"/>
  <c r="D73" i="4"/>
  <c r="D81" i="4"/>
  <c r="D113" i="4"/>
  <c r="D121" i="4"/>
  <c r="D129" i="4"/>
  <c r="D137" i="4"/>
  <c r="D153" i="4"/>
  <c r="D169" i="4"/>
  <c r="D185" i="4"/>
  <c r="D193" i="4"/>
  <c r="D209" i="4"/>
  <c r="D225" i="4"/>
  <c r="D233" i="4"/>
  <c r="D249" i="4"/>
  <c r="D257" i="4"/>
  <c r="D289" i="4"/>
  <c r="D297" i="4"/>
  <c r="D305" i="4"/>
  <c r="D345" i="4"/>
  <c r="D353" i="4"/>
  <c r="D369" i="4"/>
  <c r="D385" i="4"/>
  <c r="D393" i="4"/>
  <c r="D401" i="4"/>
  <c r="D449" i="4"/>
  <c r="D481" i="4"/>
  <c r="D489" i="4"/>
  <c r="D26" i="4"/>
  <c r="D34" i="4"/>
  <c r="D58" i="4"/>
  <c r="D90" i="4"/>
  <c r="D98" i="4"/>
  <c r="D106" i="4"/>
  <c r="D138" i="4"/>
  <c r="D162" i="4"/>
  <c r="D178" i="4"/>
  <c r="D194" i="4"/>
  <c r="D472" i="4"/>
  <c r="D456" i="4"/>
  <c r="D11" i="4"/>
  <c r="D27" i="4"/>
  <c r="D43" i="4"/>
  <c r="D51" i="4"/>
  <c r="D67" i="4"/>
  <c r="D75" i="4"/>
  <c r="D83" i="4"/>
  <c r="D115" i="4"/>
  <c r="D131" i="4"/>
  <c r="D147" i="4"/>
  <c r="D163" i="4"/>
  <c r="D179" i="4"/>
  <c r="D275" i="4"/>
  <c r="D307" i="4"/>
  <c r="D323" i="4"/>
  <c r="D331" i="4"/>
  <c r="D339" i="4"/>
  <c r="D363" i="4"/>
  <c r="D387" i="4"/>
  <c r="D395" i="4"/>
  <c r="D419" i="4"/>
  <c r="D435" i="4"/>
  <c r="D459" i="4"/>
  <c r="D483" i="4"/>
  <c r="D158" i="4"/>
  <c r="D182" i="4"/>
  <c r="D198" i="4"/>
  <c r="D222" i="4"/>
  <c r="D246" i="4"/>
  <c r="D262" i="4"/>
  <c r="D310" i="4"/>
  <c r="D334" i="4"/>
  <c r="D350" i="4"/>
  <c r="D398" i="4"/>
  <c r="D422" i="4"/>
  <c r="D446" i="4"/>
  <c r="D20" i="4"/>
  <c r="D28" i="4"/>
  <c r="D44" i="4"/>
  <c r="D52" i="4"/>
  <c r="D60" i="4"/>
  <c r="D76" i="4"/>
  <c r="D84" i="4"/>
  <c r="D116" i="4"/>
  <c r="D124" i="4"/>
  <c r="D132" i="4"/>
  <c r="D140" i="4"/>
  <c r="D156" i="4"/>
  <c r="D172" i="4"/>
  <c r="D220" i="4"/>
  <c r="D228" i="4"/>
  <c r="D252" i="4"/>
  <c r="D260" i="4"/>
  <c r="D268" i="4"/>
  <c r="D308" i="4"/>
  <c r="D316" i="4"/>
  <c r="D324" i="4"/>
  <c r="D332" i="4"/>
  <c r="D356" i="4"/>
  <c r="D388" i="4"/>
  <c r="D404" i="4"/>
  <c r="D412" i="4"/>
  <c r="D420" i="4"/>
  <c r="D428" i="4"/>
  <c r="D444" i="4"/>
  <c r="D452" i="4"/>
  <c r="D460" i="4"/>
  <c r="D468" i="4"/>
  <c r="D484" i="4"/>
  <c r="D492" i="4"/>
  <c r="D126" i="4"/>
  <c r="D150" i="4"/>
  <c r="D190" i="4"/>
  <c r="D214" i="4"/>
  <c r="D270" i="4"/>
  <c r="D358" i="4"/>
  <c r="D382" i="4"/>
  <c r="D13" i="4"/>
  <c r="D45" i="4"/>
  <c r="D53" i="4"/>
  <c r="D85" i="4"/>
  <c r="D93" i="4"/>
  <c r="D101" i="4"/>
  <c r="D109" i="4"/>
  <c r="D117" i="4"/>
  <c r="D149" i="4"/>
  <c r="D181" i="4"/>
  <c r="D189" i="4"/>
  <c r="D197" i="4"/>
  <c r="D205" i="4"/>
  <c r="D213" i="4"/>
  <c r="D237" i="4"/>
  <c r="D245" i="4"/>
  <c r="D253" i="4"/>
  <c r="D277" i="4"/>
  <c r="D285" i="4"/>
  <c r="D293" i="4"/>
  <c r="D301" i="4"/>
  <c r="D309" i="4"/>
  <c r="D333" i="4"/>
  <c r="D349" i="4"/>
  <c r="D373" i="4"/>
  <c r="D389" i="4"/>
  <c r="D397" i="4"/>
  <c r="D405" i="4"/>
  <c r="D421" i="4"/>
  <c r="D429" i="4"/>
  <c r="D445" i="4"/>
  <c r="D453" i="4"/>
  <c r="D461" i="4"/>
  <c r="D469" i="4"/>
  <c r="D477" i="4"/>
  <c r="D493" i="4"/>
  <c r="D62" i="4"/>
  <c r="D118" i="4"/>
  <c r="D142" i="4"/>
  <c r="D278" i="4"/>
  <c r="D302" i="4"/>
  <c r="D318" i="4"/>
  <c r="D342" i="4"/>
  <c r="D390" i="4"/>
  <c r="D6" i="4"/>
  <c r="D22" i="4"/>
  <c r="D38" i="4"/>
  <c r="D15" i="4"/>
  <c r="D71" i="4"/>
  <c r="D87" i="4"/>
  <c r="D135" i="4"/>
  <c r="D143" i="4"/>
  <c r="D159" i="4"/>
  <c r="D175" i="4"/>
  <c r="D191" i="4"/>
  <c r="D199" i="4"/>
  <c r="D223" i="4"/>
  <c r="D231" i="4"/>
  <c r="D279" i="4"/>
  <c r="D295" i="4"/>
  <c r="D303" i="4"/>
  <c r="D335" i="4"/>
  <c r="D351" i="4"/>
  <c r="D375" i="4"/>
  <c r="D383" i="4"/>
  <c r="D399" i="4"/>
  <c r="D8" i="4"/>
  <c r="D24" i="4"/>
  <c r="D40" i="4"/>
  <c r="D56" i="4"/>
  <c r="D72" i="4"/>
  <c r="D80" i="4"/>
  <c r="D128" i="4"/>
  <c r="D144" i="4"/>
  <c r="D160" i="4"/>
  <c r="D168" i="4"/>
  <c r="D176" i="4"/>
  <c r="D184" i="4"/>
  <c r="D208" i="4"/>
  <c r="D224" i="4"/>
  <c r="D240" i="4"/>
  <c r="D256" i="4"/>
  <c r="D280" i="4"/>
  <c r="D296" i="4"/>
  <c r="D312" i="4"/>
  <c r="D328" i="4"/>
  <c r="D336" i="4"/>
  <c r="D344" i="4"/>
  <c r="D352" i="4"/>
  <c r="D368" i="4"/>
  <c r="D376" i="4"/>
  <c r="D384" i="4"/>
  <c r="D25" i="4"/>
  <c r="D49" i="4"/>
  <c r="D57" i="4"/>
  <c r="D89" i="4"/>
  <c r="D97" i="4"/>
  <c r="D105" i="4"/>
  <c r="D145" i="4"/>
  <c r="D161" i="4"/>
  <c r="D177" i="4"/>
  <c r="D201" i="4"/>
  <c r="D217" i="4"/>
  <c r="D241" i="4"/>
  <c r="D265" i="4"/>
  <c r="D273" i="4"/>
  <c r="D281" i="4"/>
  <c r="D313" i="4"/>
  <c r="D321" i="4"/>
  <c r="D329" i="4"/>
  <c r="D337" i="4"/>
  <c r="D361" i="4"/>
  <c r="D377" i="4"/>
  <c r="D409" i="4"/>
  <c r="D417" i="4"/>
  <c r="D425" i="4"/>
  <c r="D433" i="4"/>
  <c r="D441" i="4"/>
  <c r="D457" i="4"/>
  <c r="D465" i="4"/>
  <c r="D473" i="4"/>
  <c r="D497" i="4"/>
  <c r="D18" i="4"/>
  <c r="D42" i="4"/>
  <c r="D50" i="4"/>
  <c r="D66" i="4"/>
  <c r="D74" i="4"/>
  <c r="D82" i="4"/>
  <c r="D114" i="4"/>
  <c r="D122" i="4"/>
  <c r="D130" i="4"/>
  <c r="D146" i="4"/>
  <c r="D154" i="4"/>
  <c r="D170" i="4"/>
  <c r="D186" i="4"/>
  <c r="D10" i="4"/>
  <c r="D487" i="4"/>
  <c r="D471" i="4"/>
  <c r="D455" i="4"/>
  <c r="D432" i="4"/>
  <c r="D410" i="4"/>
  <c r="D370" i="4"/>
  <c r="D306" i="4"/>
  <c r="D486" i="4"/>
  <c r="D470" i="4"/>
  <c r="D450" i="4"/>
  <c r="D431" i="4"/>
  <c r="D408" i="4"/>
  <c r="D362" i="4"/>
  <c r="D298" i="4"/>
  <c r="D234" i="4"/>
  <c r="D498" i="4"/>
  <c r="D482" i="4"/>
  <c r="D466" i="4"/>
  <c r="D448" i="4"/>
  <c r="D426" i="4"/>
  <c r="D402" i="4"/>
  <c r="D354" i="4"/>
  <c r="D290" i="4"/>
  <c r="D226" i="4"/>
  <c r="D496" i="4"/>
  <c r="D480" i="4"/>
  <c r="D464" i="4"/>
  <c r="D447" i="4"/>
  <c r="D424" i="4"/>
  <c r="D400" i="4"/>
  <c r="D346" i="4"/>
  <c r="D282" i="4"/>
  <c r="D218" i="4"/>
  <c r="D495" i="4"/>
  <c r="D479" i="4"/>
  <c r="D463" i="4"/>
  <c r="D442" i="4"/>
  <c r="D423" i="4"/>
  <c r="D394" i="4"/>
  <c r="D338" i="4"/>
  <c r="D274" i="4"/>
  <c r="D210" i="4"/>
  <c r="D494" i="4"/>
  <c r="D478" i="4"/>
  <c r="D462" i="4"/>
  <c r="D440" i="4"/>
  <c r="D418" i="4"/>
  <c r="D392" i="4"/>
  <c r="D330" i="4"/>
  <c r="D266" i="4"/>
  <c r="D20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2A66E1-D376-4588-8B26-5C30FC0C8F91}" name="Conexão" type="4" refreshedVersion="8" background="1" saveData="1">
    <webPr sourceData="1" parsePre="1" consecutive="1" xl2000="1" url="https://br.investing.com/crypto" htmlTables="1" htmlFormat="all"/>
  </connection>
</connections>
</file>

<file path=xl/sharedStrings.xml><?xml version="1.0" encoding="utf-8"?>
<sst xmlns="http://schemas.openxmlformats.org/spreadsheetml/2006/main" count="1116" uniqueCount="593">
  <si>
    <t>Nome</t>
  </si>
  <si>
    <t>Nascimento</t>
  </si>
  <si>
    <t>Gênero</t>
  </si>
  <si>
    <t>Masculino</t>
  </si>
  <si>
    <t>Idade</t>
  </si>
  <si>
    <t>Feminino</t>
  </si>
  <si>
    <t>Outro</t>
  </si>
  <si>
    <t>Cliente</t>
  </si>
  <si>
    <t>Moeda</t>
  </si>
  <si>
    <t>Qtd</t>
  </si>
  <si>
    <t>Valor</t>
  </si>
  <si>
    <t>Cliente 1</t>
  </si>
  <si>
    <t>Ethereum</t>
  </si>
  <si>
    <t>Cliente 2</t>
  </si>
  <si>
    <t>Bitcoin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</si>
  <si>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</si>
  <si>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</si>
  <si>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</si>
  <si>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</si>
  <si>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</si>
  <si>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</si>
  <si>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</si>
  <si>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</si>
  <si>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</si>
  <si>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</si>
  <si>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</si>
  <si>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</si>
  <si>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</si>
  <si>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</si>
  <si>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</si>
  <si>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</si>
  <si>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>Cliente 19</t>
  </si>
  <si>
    <t>Cliente 20</t>
  </si>
  <si>
    <t>Cliente 21</t>
  </si>
  <si>
    <t>Cliente 22</t>
  </si>
  <si>
    <t>Cliente 23</t>
  </si>
  <si>
    <t>Cliente 24</t>
  </si>
  <si>
    <t>Cliente 25</t>
  </si>
  <si>
    <t>Cliente 26</t>
  </si>
  <si>
    <t>Cliente 27</t>
  </si>
  <si>
    <t>Cliente 28</t>
  </si>
  <si>
    <t>Cliente 29</t>
  </si>
  <si>
    <t>Cliente 30</t>
  </si>
  <si>
    <t>Cliente 31</t>
  </si>
  <si>
    <t>Cliente 32</t>
  </si>
  <si>
    <t>Cliente 33</t>
  </si>
  <si>
    <t>Cliente 34</t>
  </si>
  <si>
    <t>Cliente 35</t>
  </si>
  <si>
    <t>Cliente 36</t>
  </si>
  <si>
    <t>Cliente 37</t>
  </si>
  <si>
    <t>Cliente 38</t>
  </si>
  <si>
    <t>Cliente 39</t>
  </si>
  <si>
    <t>Cliente 40</t>
  </si>
  <si>
    <t>Cliente 41</t>
  </si>
  <si>
    <t>Cliente 42</t>
  </si>
  <si>
    <t>Cliente 43</t>
  </si>
  <si>
    <t>Cliente 44</t>
  </si>
  <si>
    <t>Cliente 45</t>
  </si>
  <si>
    <t>Cliente 46</t>
  </si>
  <si>
    <t>Cliente 47</t>
  </si>
  <si>
    <t>Cliente 48</t>
  </si>
  <si>
    <t>Cliente 49</t>
  </si>
  <si>
    <t>Cliente 50</t>
  </si>
  <si>
    <t>Cliente 51</t>
  </si>
  <si>
    <t>Cliente 52</t>
  </si>
  <si>
    <t>Cliente 53</t>
  </si>
  <si>
    <t>Cliente 54</t>
  </si>
  <si>
    <t>Cliente 55</t>
  </si>
  <si>
    <t>Cliente 56</t>
  </si>
  <si>
    <t>Cliente 57</t>
  </si>
  <si>
    <t>Cliente 58</t>
  </si>
  <si>
    <t>Cliente 59</t>
  </si>
  <si>
    <t>Cliente 60</t>
  </si>
  <si>
    <t>Cliente 61</t>
  </si>
  <si>
    <t>Cliente 62</t>
  </si>
  <si>
    <t>Cliente 63</t>
  </si>
  <si>
    <t>Cliente 64</t>
  </si>
  <si>
    <t>Cliente 65</t>
  </si>
  <si>
    <t>Cliente 66</t>
  </si>
  <si>
    <t>Cliente 67</t>
  </si>
  <si>
    <t>Cliente 68</t>
  </si>
  <si>
    <t>Cliente 69</t>
  </si>
  <si>
    <t>Cliente 70</t>
  </si>
  <si>
    <t>Cliente 71</t>
  </si>
  <si>
    <t>Cliente 72</t>
  </si>
  <si>
    <t>Cliente 73</t>
  </si>
  <si>
    <t>Cliente 74</t>
  </si>
  <si>
    <t>Cliente 75</t>
  </si>
  <si>
    <t>Cliente 76</t>
  </si>
  <si>
    <t>Cliente 77</t>
  </si>
  <si>
    <t>Cliente 78</t>
  </si>
  <si>
    <t>Cliente 79</t>
  </si>
  <si>
    <t>Cliente 80</t>
  </si>
  <si>
    <t>Cliente 81</t>
  </si>
  <si>
    <t>Cliente 82</t>
  </si>
  <si>
    <t>Cliente 83</t>
  </si>
  <si>
    <t>Cliente 84</t>
  </si>
  <si>
    <t>Cliente 85</t>
  </si>
  <si>
    <t>Cliente 86</t>
  </si>
  <si>
    <t>Cliente 87</t>
  </si>
  <si>
    <t>Cliente 88</t>
  </si>
  <si>
    <t>Cliente 89</t>
  </si>
  <si>
    <t>Cliente 90</t>
  </si>
  <si>
    <t>Cliente 91</t>
  </si>
  <si>
    <t>Cliente 92</t>
  </si>
  <si>
    <t>Cliente 93</t>
  </si>
  <si>
    <t>Cliente 94</t>
  </si>
  <si>
    <t>Cliente 95</t>
  </si>
  <si>
    <t>Cliente 96</t>
  </si>
  <si>
    <t>Cliente 97</t>
  </si>
  <si>
    <t>Cliente 98</t>
  </si>
  <si>
    <t>Cliente 99</t>
  </si>
  <si>
    <t>Cliente 100</t>
  </si>
  <si>
    <t>Cliente 101</t>
  </si>
  <si>
    <t>Cliente 102</t>
  </si>
  <si>
    <t>Cliente 103</t>
  </si>
  <si>
    <t>Cliente 104</t>
  </si>
  <si>
    <t>Cliente 105</t>
  </si>
  <si>
    <t>Cliente 106</t>
  </si>
  <si>
    <t>Cliente 107</t>
  </si>
  <si>
    <t>Cliente 108</t>
  </si>
  <si>
    <t>Cliente 109</t>
  </si>
  <si>
    <t>Cliente 110</t>
  </si>
  <si>
    <t>Cliente 111</t>
  </si>
  <si>
    <t>Cliente 112</t>
  </si>
  <si>
    <t>Cliente 113</t>
  </si>
  <si>
    <t>Cliente 114</t>
  </si>
  <si>
    <t>Cliente 115</t>
  </si>
  <si>
    <t>Cliente 116</t>
  </si>
  <si>
    <t>Cliente 117</t>
  </si>
  <si>
    <t>Cliente 118</t>
  </si>
  <si>
    <t>Cliente 119</t>
  </si>
  <si>
    <t>Cliente 120</t>
  </si>
  <si>
    <t>Cliente 121</t>
  </si>
  <si>
    <t>Cliente 122</t>
  </si>
  <si>
    <t>Cliente 123</t>
  </si>
  <si>
    <t>Cliente 124</t>
  </si>
  <si>
    <t>Cliente 125</t>
  </si>
  <si>
    <t>Cliente 126</t>
  </si>
  <si>
    <t>Cliente 127</t>
  </si>
  <si>
    <t>Cliente 128</t>
  </si>
  <si>
    <t>Cliente 129</t>
  </si>
  <si>
    <t>Cliente 130</t>
  </si>
  <si>
    <t>Cliente 131</t>
  </si>
  <si>
    <t>Cliente 132</t>
  </si>
  <si>
    <t>Cliente 133</t>
  </si>
  <si>
    <t>Cliente 134</t>
  </si>
  <si>
    <t>Cliente 135</t>
  </si>
  <si>
    <t>Cliente 136</t>
  </si>
  <si>
    <t>Cliente 137</t>
  </si>
  <si>
    <t>Cliente 138</t>
  </si>
  <si>
    <t>Cliente 139</t>
  </si>
  <si>
    <t>Cliente 140</t>
  </si>
  <si>
    <t>Cliente 141</t>
  </si>
  <si>
    <t>Cliente 142</t>
  </si>
  <si>
    <t>Cliente 143</t>
  </si>
  <si>
    <t>Cliente 144</t>
  </si>
  <si>
    <t>Cliente 145</t>
  </si>
  <si>
    <t>Cliente 146</t>
  </si>
  <si>
    <t>Cliente 147</t>
  </si>
  <si>
    <t>Cliente 148</t>
  </si>
  <si>
    <t>Cliente 149</t>
  </si>
  <si>
    <t>Cliente 150</t>
  </si>
  <si>
    <t>Cliente 151</t>
  </si>
  <si>
    <t>Cliente 152</t>
  </si>
  <si>
    <t>Cliente 153</t>
  </si>
  <si>
    <t>Cliente 154</t>
  </si>
  <si>
    <t>Cliente 155</t>
  </si>
  <si>
    <t>Cliente 156</t>
  </si>
  <si>
    <t>Cliente 157</t>
  </si>
  <si>
    <t>Cliente 158</t>
  </si>
  <si>
    <t>Cliente 159</t>
  </si>
  <si>
    <t>Cliente 160</t>
  </si>
  <si>
    <t>Cliente 161</t>
  </si>
  <si>
    <t>Cliente 162</t>
  </si>
  <si>
    <t>Cliente 163</t>
  </si>
  <si>
    <t>Cliente 164</t>
  </si>
  <si>
    <t>Cliente 165</t>
  </si>
  <si>
    <t>Cliente 166</t>
  </si>
  <si>
    <t>Cliente 167</t>
  </si>
  <si>
    <t>Cliente 168</t>
  </si>
  <si>
    <t>Cliente 169</t>
  </si>
  <si>
    <t>Cliente 170</t>
  </si>
  <si>
    <t>Cliente 171</t>
  </si>
  <si>
    <t>Cliente 172</t>
  </si>
  <si>
    <t>Cliente 173</t>
  </si>
  <si>
    <t>Cliente 174</t>
  </si>
  <si>
    <t>Cliente 175</t>
  </si>
  <si>
    <t>Cliente 176</t>
  </si>
  <si>
    <t>Cliente 177</t>
  </si>
  <si>
    <t>Cliente 178</t>
  </si>
  <si>
    <t>Cliente 179</t>
  </si>
  <si>
    <t>Cliente 180</t>
  </si>
  <si>
    <t>Cliente 181</t>
  </si>
  <si>
    <t>Cliente 182</t>
  </si>
  <si>
    <t>Cliente 183</t>
  </si>
  <si>
    <t>Cliente 184</t>
  </si>
  <si>
    <t>Cliente 185</t>
  </si>
  <si>
    <t>Cliente 186</t>
  </si>
  <si>
    <t>Cliente 187</t>
  </si>
  <si>
    <t>Cliente 188</t>
  </si>
  <si>
    <t>Cliente 189</t>
  </si>
  <si>
    <t>Cliente 190</t>
  </si>
  <si>
    <t>Cliente 191</t>
  </si>
  <si>
    <t>Cliente 192</t>
  </si>
  <si>
    <t>Cliente 193</t>
  </si>
  <si>
    <t>Cliente 194</t>
  </si>
  <si>
    <t>Cliente 195</t>
  </si>
  <si>
    <t>Cliente 196</t>
  </si>
  <si>
    <t>Cliente 197</t>
  </si>
  <si>
    <t>Cliente 198</t>
  </si>
  <si>
    <t>Cliente 199</t>
  </si>
  <si>
    <t>Cliente 200</t>
  </si>
  <si>
    <t>Cliente 201</t>
  </si>
  <si>
    <t>Cliente 202</t>
  </si>
  <si>
    <t>Cliente 203</t>
  </si>
  <si>
    <t>Cliente 204</t>
  </si>
  <si>
    <t>Cliente 205</t>
  </si>
  <si>
    <t>Cliente 206</t>
  </si>
  <si>
    <t>Cliente 207</t>
  </si>
  <si>
    <t>Cliente 208</t>
  </si>
  <si>
    <t>Cliente 209</t>
  </si>
  <si>
    <t>Cliente 210</t>
  </si>
  <si>
    <t>Cliente 211</t>
  </si>
  <si>
    <t>Cliente 212</t>
  </si>
  <si>
    <t>Cliente 213</t>
  </si>
  <si>
    <t>Cliente 214</t>
  </si>
  <si>
    <t>Cliente 215</t>
  </si>
  <si>
    <t>Cliente 216</t>
  </si>
  <si>
    <t>Cliente 217</t>
  </si>
  <si>
    <t>Cliente 218</t>
  </si>
  <si>
    <t>Cliente 219</t>
  </si>
  <si>
    <t>Cliente 220</t>
  </si>
  <si>
    <t>Cliente 221</t>
  </si>
  <si>
    <t>Cliente 222</t>
  </si>
  <si>
    <t>Cliente 223</t>
  </si>
  <si>
    <t>Cliente 224</t>
  </si>
  <si>
    <t>Cliente 225</t>
  </si>
  <si>
    <t>Cliente 226</t>
  </si>
  <si>
    <t>Cliente 227</t>
  </si>
  <si>
    <t>Cliente 228</t>
  </si>
  <si>
    <t>Cliente 229</t>
  </si>
  <si>
    <t>Cliente 230</t>
  </si>
  <si>
    <t>Cliente 231</t>
  </si>
  <si>
    <t>Cliente 232</t>
  </si>
  <si>
    <t>Cliente 233</t>
  </si>
  <si>
    <t>Cliente 234</t>
  </si>
  <si>
    <t>Cliente 235</t>
  </si>
  <si>
    <t>Cliente 236</t>
  </si>
  <si>
    <t>Cliente 237</t>
  </si>
  <si>
    <t>Cliente 238</t>
  </si>
  <si>
    <t>Cliente 239</t>
  </si>
  <si>
    <t>Cliente 240</t>
  </si>
  <si>
    <t>Cliente 241</t>
  </si>
  <si>
    <t>Cliente 242</t>
  </si>
  <si>
    <t>Cliente 243</t>
  </si>
  <si>
    <t>Cliente 244</t>
  </si>
  <si>
    <t>Cliente 245</t>
  </si>
  <si>
    <t>Cliente 246</t>
  </si>
  <si>
    <t>Cliente 247</t>
  </si>
  <si>
    <t>Cliente 248</t>
  </si>
  <si>
    <t>Cliente 249</t>
  </si>
  <si>
    <t>Cliente 250</t>
  </si>
  <si>
    <t>Cliente 251</t>
  </si>
  <si>
    <t>Cliente 252</t>
  </si>
  <si>
    <t>Cliente 253</t>
  </si>
  <si>
    <t>Cliente 254</t>
  </si>
  <si>
    <t>Cliente 255</t>
  </si>
  <si>
    <t>Cliente 256</t>
  </si>
  <si>
    <t>Cliente 257</t>
  </si>
  <si>
    <t>Cliente 258</t>
  </si>
  <si>
    <t>Cliente 259</t>
  </si>
  <si>
    <t>Cliente 260</t>
  </si>
  <si>
    <t>Cliente 261</t>
  </si>
  <si>
    <t>Cliente 262</t>
  </si>
  <si>
    <t>Cliente 263</t>
  </si>
  <si>
    <t>Cliente 264</t>
  </si>
  <si>
    <t>Cliente 265</t>
  </si>
  <si>
    <t>Cliente 266</t>
  </si>
  <si>
    <t>Cliente 267</t>
  </si>
  <si>
    <t>Cliente 268</t>
  </si>
  <si>
    <t>Cliente 269</t>
  </si>
  <si>
    <t>Cliente 270</t>
  </si>
  <si>
    <t>Cliente 271</t>
  </si>
  <si>
    <t>Cliente 272</t>
  </si>
  <si>
    <t>Cliente 273</t>
  </si>
  <si>
    <t>Cliente 274</t>
  </si>
  <si>
    <t>Cliente 275</t>
  </si>
  <si>
    <t>Cliente 276</t>
  </si>
  <si>
    <t>Cliente 277</t>
  </si>
  <si>
    <t>Cliente 278</t>
  </si>
  <si>
    <t>Cliente 279</t>
  </si>
  <si>
    <t>Cliente 280</t>
  </si>
  <si>
    <t>Cliente 281</t>
  </si>
  <si>
    <t>Cliente 282</t>
  </si>
  <si>
    <t>Cliente 283</t>
  </si>
  <si>
    <t>Cliente 284</t>
  </si>
  <si>
    <t>Cliente 285</t>
  </si>
  <si>
    <t>Cliente 286</t>
  </si>
  <si>
    <t>Cliente 287</t>
  </si>
  <si>
    <t>Cliente 288</t>
  </si>
  <si>
    <t>Cliente 289</t>
  </si>
  <si>
    <t>Cliente 290</t>
  </si>
  <si>
    <t>Cliente 291</t>
  </si>
  <si>
    <t>Cliente 292</t>
  </si>
  <si>
    <t>Cliente 293</t>
  </si>
  <si>
    <t>Cliente 294</t>
  </si>
  <si>
    <t>Cliente 295</t>
  </si>
  <si>
    <t>Cliente 296</t>
  </si>
  <si>
    <t>Cliente 297</t>
  </si>
  <si>
    <t>Cliente 298</t>
  </si>
  <si>
    <t>Cliente 299</t>
  </si>
  <si>
    <t>Cliente 300</t>
  </si>
  <si>
    <t>Cliente 301</t>
  </si>
  <si>
    <t>Cliente 302</t>
  </si>
  <si>
    <t>Cliente 303</t>
  </si>
  <si>
    <t>Cliente 304</t>
  </si>
  <si>
    <t>Cliente 305</t>
  </si>
  <si>
    <t>Cliente 306</t>
  </si>
  <si>
    <t>Cliente 307</t>
  </si>
  <si>
    <t>Cliente 308</t>
  </si>
  <si>
    <t>Cliente 309</t>
  </si>
  <si>
    <t>Cliente 310</t>
  </si>
  <si>
    <t>Cliente 311</t>
  </si>
  <si>
    <t>Cliente 312</t>
  </si>
  <si>
    <t>Cliente 313</t>
  </si>
  <si>
    <t>Cliente 314</t>
  </si>
  <si>
    <t>Cliente 315</t>
  </si>
  <si>
    <t>Cliente 316</t>
  </si>
  <si>
    <t>Cliente 317</t>
  </si>
  <si>
    <t>Cliente 318</t>
  </si>
  <si>
    <t>Cliente 319</t>
  </si>
  <si>
    <t>Cliente 320</t>
  </si>
  <si>
    <t>Cliente 321</t>
  </si>
  <si>
    <t>Cliente 322</t>
  </si>
  <si>
    <t>Cliente 323</t>
  </si>
  <si>
    <t>Cliente 324</t>
  </si>
  <si>
    <t>Cliente 325</t>
  </si>
  <si>
    <t>Cliente 326</t>
  </si>
  <si>
    <t>Cliente 327</t>
  </si>
  <si>
    <t>Cliente 328</t>
  </si>
  <si>
    <t>Cliente 329</t>
  </si>
  <si>
    <t>Cliente 330</t>
  </si>
  <si>
    <t>Cliente 331</t>
  </si>
  <si>
    <t>Cliente 332</t>
  </si>
  <si>
    <t>Cliente 333</t>
  </si>
  <si>
    <t>Cliente 334</t>
  </si>
  <si>
    <t>Cliente 335</t>
  </si>
  <si>
    <t>Cliente 336</t>
  </si>
  <si>
    <t>Cliente 337</t>
  </si>
  <si>
    <t>Cliente 338</t>
  </si>
  <si>
    <t>Cliente 339</t>
  </si>
  <si>
    <t>Cliente 340</t>
  </si>
  <si>
    <t>Cliente 341</t>
  </si>
  <si>
    <t>Cliente 342</t>
  </si>
  <si>
    <t>Cliente 343</t>
  </si>
  <si>
    <t>Cliente 344</t>
  </si>
  <si>
    <t>Cliente 345</t>
  </si>
  <si>
    <t>Cliente 346</t>
  </si>
  <si>
    <t>Cliente 347</t>
  </si>
  <si>
    <t>Cliente 348</t>
  </si>
  <si>
    <t>Cliente 349</t>
  </si>
  <si>
    <t>Cliente 350</t>
  </si>
  <si>
    <t>Cliente 351</t>
  </si>
  <si>
    <t>Cliente 352</t>
  </si>
  <si>
    <t>Cliente 353</t>
  </si>
  <si>
    <t>Cliente 354</t>
  </si>
  <si>
    <t>Cliente 355</t>
  </si>
  <si>
    <t>Cliente 356</t>
  </si>
  <si>
    <t>Cliente 357</t>
  </si>
  <si>
    <t>Cliente 358</t>
  </si>
  <si>
    <t>Cliente 359</t>
  </si>
  <si>
    <t>Cliente 360</t>
  </si>
  <si>
    <t>Cliente 361</t>
  </si>
  <si>
    <t>Cliente 362</t>
  </si>
  <si>
    <t>Cliente 363</t>
  </si>
  <si>
    <t>Cliente 364</t>
  </si>
  <si>
    <t>Cliente 365</t>
  </si>
  <si>
    <t>Cliente 366</t>
  </si>
  <si>
    <t>Cliente 367</t>
  </si>
  <si>
    <t>Cliente 368</t>
  </si>
  <si>
    <t>Cliente 369</t>
  </si>
  <si>
    <t>Cliente 370</t>
  </si>
  <si>
    <t>Cliente 371</t>
  </si>
  <si>
    <t>Cliente 372</t>
  </si>
  <si>
    <t>Cliente 373</t>
  </si>
  <si>
    <t>Cliente 374</t>
  </si>
  <si>
    <t>Cliente 375</t>
  </si>
  <si>
    <t>Cliente 376</t>
  </si>
  <si>
    <t>Cliente 377</t>
  </si>
  <si>
    <t>Cliente 378</t>
  </si>
  <si>
    <t>Cliente 379</t>
  </si>
  <si>
    <t>Cliente 380</t>
  </si>
  <si>
    <t>Cliente 381</t>
  </si>
  <si>
    <t>Cliente 382</t>
  </si>
  <si>
    <t>Cliente 383</t>
  </si>
  <si>
    <t>Cliente 384</t>
  </si>
  <si>
    <t>Cliente 385</t>
  </si>
  <si>
    <t>Cliente 386</t>
  </si>
  <si>
    <t>Cliente 387</t>
  </si>
  <si>
    <t>Cliente 388</t>
  </si>
  <si>
    <t>Cliente 389</t>
  </si>
  <si>
    <t>Cliente 390</t>
  </si>
  <si>
    <t>Cliente 391</t>
  </si>
  <si>
    <t>Cliente 392</t>
  </si>
  <si>
    <t>Cliente 393</t>
  </si>
  <si>
    <t>Cliente 394</t>
  </si>
  <si>
    <t>Cliente 395</t>
  </si>
  <si>
    <t>Cliente 396</t>
  </si>
  <si>
    <t>Cliente 397</t>
  </si>
  <si>
    <t>Cliente 398</t>
  </si>
  <si>
    <t>Cliente 399</t>
  </si>
  <si>
    <t>Cliente 400</t>
  </si>
  <si>
    <t>Cliente 401</t>
  </si>
  <si>
    <t>Cliente 402</t>
  </si>
  <si>
    <t>Cliente 403</t>
  </si>
  <si>
    <t>Cliente 404</t>
  </si>
  <si>
    <t>Cliente 405</t>
  </si>
  <si>
    <t>Cliente 406</t>
  </si>
  <si>
    <t>Cliente 407</t>
  </si>
  <si>
    <t>Cliente 408</t>
  </si>
  <si>
    <t>Cliente 409</t>
  </si>
  <si>
    <t>Cliente 410</t>
  </si>
  <si>
    <t>Cliente 411</t>
  </si>
  <si>
    <t>Cliente 412</t>
  </si>
  <si>
    <t>Cliente 413</t>
  </si>
  <si>
    <t>Cliente 414</t>
  </si>
  <si>
    <t>Cliente 415</t>
  </si>
  <si>
    <t>Cliente 416</t>
  </si>
  <si>
    <t>Cliente 417</t>
  </si>
  <si>
    <t>Cliente 418</t>
  </si>
  <si>
    <t>Cliente 419</t>
  </si>
  <si>
    <t>Cliente 420</t>
  </si>
  <si>
    <t>Cliente 421</t>
  </si>
  <si>
    <t>Cliente 422</t>
  </si>
  <si>
    <t>Cliente 423</t>
  </si>
  <si>
    <t>Cliente 424</t>
  </si>
  <si>
    <t>Cliente 425</t>
  </si>
  <si>
    <t>Cliente 426</t>
  </si>
  <si>
    <t>Cliente 427</t>
  </si>
  <si>
    <t>Cliente 428</t>
  </si>
  <si>
    <t>Cliente 429</t>
  </si>
  <si>
    <t>Cliente 430</t>
  </si>
  <si>
    <t>Cliente 431</t>
  </si>
  <si>
    <t>Cliente 432</t>
  </si>
  <si>
    <t>Cliente 433</t>
  </si>
  <si>
    <t>Cliente 434</t>
  </si>
  <si>
    <t>Cliente 435</t>
  </si>
  <si>
    <t>Cliente 436</t>
  </si>
  <si>
    <t>Cliente 437</t>
  </si>
  <si>
    <t>Cliente 438</t>
  </si>
  <si>
    <t>Cliente 439</t>
  </si>
  <si>
    <t>Cliente 440</t>
  </si>
  <si>
    <t>Cliente 441</t>
  </si>
  <si>
    <t>Cliente 442</t>
  </si>
  <si>
    <t>Cliente 443</t>
  </si>
  <si>
    <t>Cliente 444</t>
  </si>
  <si>
    <t>Cliente 445</t>
  </si>
  <si>
    <t>Cliente 446</t>
  </si>
  <si>
    <t>Cliente 447</t>
  </si>
  <si>
    <t>Cliente 448</t>
  </si>
  <si>
    <t>Cliente 449</t>
  </si>
  <si>
    <t>Cliente 450</t>
  </si>
  <si>
    <t>Cliente 451</t>
  </si>
  <si>
    <t>Cliente 452</t>
  </si>
  <si>
    <t>Cliente 453</t>
  </si>
  <si>
    <t>Cliente 454</t>
  </si>
  <si>
    <t>Cliente 455</t>
  </si>
  <si>
    <t>Cliente 456</t>
  </si>
  <si>
    <t>Cliente 457</t>
  </si>
  <si>
    <t>Cliente 458</t>
  </si>
  <si>
    <t>Cliente 459</t>
  </si>
  <si>
    <t>Cliente 460</t>
  </si>
  <si>
    <t>Cliente 461</t>
  </si>
  <si>
    <t>Cliente 462</t>
  </si>
  <si>
    <t>Cliente 463</t>
  </si>
  <si>
    <t>Cliente 464</t>
  </si>
  <si>
    <t>Cliente 465</t>
  </si>
  <si>
    <t>Cliente 466</t>
  </si>
  <si>
    <t>Cliente 467</t>
  </si>
  <si>
    <t>Cliente 468</t>
  </si>
  <si>
    <t>Cliente 469</t>
  </si>
  <si>
    <t>Cliente 470</t>
  </si>
  <si>
    <t>Cliente 471</t>
  </si>
  <si>
    <t>Cliente 472</t>
  </si>
  <si>
    <t>Cliente 473</t>
  </si>
  <si>
    <t>Cliente 474</t>
  </si>
  <si>
    <t>Cliente 475</t>
  </si>
  <si>
    <t>Cliente 476</t>
  </si>
  <si>
    <t>Cliente 477</t>
  </si>
  <si>
    <t>Cliente 478</t>
  </si>
  <si>
    <t>Cliente 479</t>
  </si>
  <si>
    <t>Cliente 480</t>
  </si>
  <si>
    <t>Cliente 481</t>
  </si>
  <si>
    <t>Cliente 482</t>
  </si>
  <si>
    <t>Cliente 483</t>
  </si>
  <si>
    <t>Cliente 484</t>
  </si>
  <si>
    <t>Cliente 485</t>
  </si>
  <si>
    <t>Cliente 486</t>
  </si>
  <si>
    <t>Cliente 487</t>
  </si>
  <si>
    <t>Cliente 488</t>
  </si>
  <si>
    <t>Cliente 489</t>
  </si>
  <si>
    <t>Cliente 490</t>
  </si>
  <si>
    <t>Cliente 491</t>
  </si>
  <si>
    <t>Cliente 492</t>
  </si>
  <si>
    <t>Cliente 493</t>
  </si>
  <si>
    <t>Cliente 494</t>
  </si>
  <si>
    <t>Cliente 495</t>
  </si>
  <si>
    <t>Cliente 496</t>
  </si>
  <si>
    <t>Cliente 497</t>
  </si>
  <si>
    <t>Cliente 498</t>
  </si>
  <si>
    <t>Cliente 499</t>
  </si>
  <si>
    <t>Cliente 500</t>
  </si>
  <si>
    <t>Cotação</t>
  </si>
  <si>
    <t>Tether</t>
  </si>
  <si>
    <t>Código</t>
  </si>
  <si>
    <t>Capitalização</t>
  </si>
  <si>
    <t>Vol. (24h)</t>
  </si>
  <si>
    <t>Vol. Total</t>
  </si>
  <si>
    <t>Var (24h)</t>
  </si>
  <si>
    <t>Var (7d)</t>
  </si>
  <si>
    <t>BTC</t>
  </si>
  <si>
    <t>ETH</t>
  </si>
  <si>
    <t>USDT</t>
  </si>
  <si>
    <t>BNB</t>
  </si>
  <si>
    <t>USD Coin</t>
  </si>
  <si>
    <t>USDC</t>
  </si>
  <si>
    <t>XRP</t>
  </si>
  <si>
    <t>Cardano</t>
  </si>
  <si>
    <t>ADA</t>
  </si>
  <si>
    <t>Criptomoeda</t>
  </si>
  <si>
    <t xml:space="preserve"># </t>
  </si>
  <si>
    <t xml:space="preserve">Preço (USD) </t>
  </si>
  <si>
    <t>Bruna</t>
  </si>
  <si>
    <t>Caio</t>
  </si>
  <si>
    <t>Daiana</t>
  </si>
  <si>
    <t>Dielson</t>
  </si>
  <si>
    <t>Erick</t>
  </si>
  <si>
    <t>Glaucia</t>
  </si>
  <si>
    <t>Isabella</t>
  </si>
  <si>
    <t>Ivana</t>
  </si>
  <si>
    <t>João</t>
  </si>
  <si>
    <t>José</t>
  </si>
  <si>
    <t>Lenon</t>
  </si>
  <si>
    <t>Leonardo</t>
  </si>
  <si>
    <t>Liara</t>
  </si>
  <si>
    <t>Maurício</t>
  </si>
  <si>
    <t>Millena</t>
  </si>
  <si>
    <t>Pedro</t>
  </si>
  <si>
    <t>Registro</t>
  </si>
  <si>
    <t>Dogecoin</t>
  </si>
  <si>
    <t>DOGE</t>
  </si>
  <si>
    <t>VC384528</t>
  </si>
  <si>
    <t>VC123456</t>
  </si>
  <si>
    <t>QI789456</t>
  </si>
  <si>
    <t>AS217497</t>
  </si>
  <si>
    <t>PL852963</t>
  </si>
  <si>
    <t>PL369852</t>
  </si>
  <si>
    <t>PL983493</t>
  </si>
  <si>
    <t>QI312767</t>
  </si>
  <si>
    <t>QI963852</t>
  </si>
  <si>
    <t>QI125478</t>
  </si>
  <si>
    <t>PL549535</t>
  </si>
  <si>
    <t>PL529816</t>
  </si>
  <si>
    <t>QI969521</t>
  </si>
  <si>
    <t>PL456987</t>
  </si>
  <si>
    <t>AS152159</t>
  </si>
  <si>
    <t>Sophia</t>
  </si>
  <si>
    <t>AD157896</t>
  </si>
  <si>
    <t>$25,91B</t>
  </si>
  <si>
    <t>Solana</t>
  </si>
  <si>
    <t>SOL</t>
  </si>
  <si>
    <t>TRON</t>
  </si>
  <si>
    <t>TRX</t>
  </si>
  <si>
    <t>$82,83B</t>
  </si>
  <si>
    <t>$498,02B</t>
  </si>
  <si>
    <t>$13,37B</t>
  </si>
  <si>
    <t>$192,85B</t>
  </si>
  <si>
    <t>$6,45B</t>
  </si>
  <si>
    <t>$22,31B</t>
  </si>
  <si>
    <t>$31,87B</t>
  </si>
  <si>
    <t>$594,56M</t>
  </si>
  <si>
    <t>$27,11B</t>
  </si>
  <si>
    <t>$1,17B</t>
  </si>
  <si>
    <t>$3,33B</t>
  </si>
  <si>
    <t>$8,88B</t>
  </si>
  <si>
    <t>$200,88M</t>
  </si>
  <si>
    <t>$8,62B</t>
  </si>
  <si>
    <t>$250,38M</t>
  </si>
  <si>
    <t>$8,11B</t>
  </si>
  <si>
    <t>$341,79M</t>
  </si>
  <si>
    <t>$6,66B</t>
  </si>
  <si>
    <t>$153,76M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</si>
</sst>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/>
    <xf numFmtId="0" fontId="1" fillId="2" borderId="0" xfId="0" applyFont="1" applyFill="1" applyAlignment="1">
      <alignment horizontal="left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2" fillId="0" borderId="0" xfId="1" applyAlignment="1">
      <alignment vertical="center" wrapText="1"/>
    </xf>
    <xf numFmtId="10" fontId="3" fillId="0" borderId="0" xfId="0" applyNumberFormat="1" applyFont="1" applyAlignment="1">
      <alignment vertical="center" wrapText="1"/>
    </xf>
    <xf numFmtId="4" fontId="2" fillId="0" borderId="0" xfId="1" applyNumberFormat="1" applyAlignment="1">
      <alignment vertical="center" wrapText="1"/>
    </xf>
    <xf numFmtId="0" fontId="1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6" fillId="2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3" fontId="2" fillId="0" borderId="0" xfId="1" applyNumberFormat="1" applyAlignment="1">
      <alignment vertical="center" wrapText="1"/>
    </xf>
  </cellXfs>
  <cellStyles count="2">
    <cellStyle name="Hiperlink" xfId="1" builtinId="8"/>
    <cellStyle name="Normal" xfId="0" builtinId="0"/>
  </cellStyles>
  <dxfs count="7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61E0ED"/>
      <color rgb="FF29D5E7"/>
      <color rgb="FF10BCCE"/>
      <color rgb="FF3EDEEA"/>
      <color rgb="FF000000"/>
      <color rgb="FF1C90B0"/>
      <color rgb="FFEC80DD"/>
      <color rgb="FFF72585"/>
      <color rgb="FFB5179E"/>
      <color rgb="FF7209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444500</xdr:colOff>
      <xdr:row>2</xdr:row>
      <xdr:rowOff>63500</xdr:rowOff>
    </xdr:from>
    <xdr:to>
      <xdr:col>12</xdr:col>
      <xdr:colOff>69850</xdr:colOff>
      <xdr:row>12</xdr:row>
      <xdr:rowOff>177800</xdr:rowOff>
    </xdr:to>
    <xdr:sp macro="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17729DC4-6295-EEF0-0EF5-51E99FCA0E49}"/>
            </a:ext>
          </a:extLst>
        </xdr:cNvPr>
        <xdr:cNvSpPr/>
      </xdr:nvSpPr>
      <xdr:spPr>
        <a:xfrm>
          <a:off x="4946650" y="431800"/>
          <a:ext cx="3168650" cy="1955800"/>
        </a:xfrm>
        <a:prstGeom prst="roundRect">
          <a:avLst>
            <a:gd name="adj" fmla="val 3637"/>
          </a:avLst>
        </a:prstGeom>
        <a:solidFill>
          <a:schemeClr val="tx1">
            <a:lumMod val="75000"/>
            <a:lumOff val="2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501650</xdr:colOff>
      <xdr:row>4</xdr:row>
      <xdr:rowOff>120650</xdr:rowOff>
    </xdr:from>
    <xdr:to>
      <xdr:col>11</xdr:col>
      <xdr:colOff>482600</xdr:colOff>
      <xdr:row>6</xdr:row>
      <xdr:rowOff>57150</xdr:rowOff>
    </xdr:to>
    <xdr:sp macro="[0]!Oderm_Alfabetic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3352FD5-E3B8-8192-BCD2-F443E9801FE4}"/>
            </a:ext>
          </a:extLst>
        </xdr:cNvPr>
        <xdr:cNvSpPr/>
      </xdr:nvSpPr>
      <xdr:spPr>
        <a:xfrm>
          <a:off x="5003800" y="857250"/>
          <a:ext cx="2997200" cy="304800"/>
        </a:xfrm>
        <a:prstGeom prst="roundRect">
          <a:avLst/>
        </a:prstGeom>
        <a:solidFill>
          <a:srgbClr val="7209B7">
            <a:alpha val="96863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800">
              <a:latin typeface="Montserrat" panose="00000500000000000000" pitchFamily="2" charset="0"/>
            </a:rPr>
            <a:t>NOMES EM ORDEM ALFABETICA</a:t>
          </a:r>
        </a:p>
      </xdr:txBody>
    </xdr:sp>
    <xdr:clientData/>
  </xdr:twoCellAnchor>
  <xdr:twoCellAnchor editAs="absolute">
    <xdr:from>
      <xdr:col>5</xdr:col>
      <xdr:colOff>514350</xdr:colOff>
      <xdr:row>6</xdr:row>
      <xdr:rowOff>114300</xdr:rowOff>
    </xdr:from>
    <xdr:to>
      <xdr:col>11</xdr:col>
      <xdr:colOff>476250</xdr:colOff>
      <xdr:row>8</xdr:row>
      <xdr:rowOff>50800</xdr:rowOff>
    </xdr:to>
    <xdr:sp macro="[0]!Velho_para_Nov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C6E7F7B-74EA-4463-9A20-2D332AA8BFCB}"/>
            </a:ext>
          </a:extLst>
        </xdr:cNvPr>
        <xdr:cNvSpPr/>
      </xdr:nvSpPr>
      <xdr:spPr>
        <a:xfrm>
          <a:off x="5016500" y="1219200"/>
          <a:ext cx="2978150" cy="304800"/>
        </a:xfrm>
        <a:prstGeom prst="roundRect">
          <a:avLst/>
        </a:prstGeom>
        <a:solidFill>
          <a:srgbClr val="B5179E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800">
              <a:latin typeface="Montserrat" panose="00000500000000000000" pitchFamily="2" charset="0"/>
            </a:rPr>
            <a:t>DO</a:t>
          </a:r>
          <a:r>
            <a:rPr lang="pt-BR" sz="800" baseline="0">
              <a:latin typeface="Montserrat" panose="00000500000000000000" pitchFamily="2" charset="0"/>
            </a:rPr>
            <a:t> MAIS VELHO PARA O MAIS NOVO</a:t>
          </a:r>
          <a:endParaRPr lang="pt-BR" sz="80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5</xdr:col>
      <xdr:colOff>533400</xdr:colOff>
      <xdr:row>10</xdr:row>
      <xdr:rowOff>101600</xdr:rowOff>
    </xdr:from>
    <xdr:to>
      <xdr:col>6</xdr:col>
      <xdr:colOff>501650</xdr:colOff>
      <xdr:row>12</xdr:row>
      <xdr:rowOff>63500</xdr:rowOff>
    </xdr:to>
    <xdr:sp macro="[0]!Exibir_Genero_Feminin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2CA6D60-52B1-4295-B3F0-4382E1DB1863}"/>
            </a:ext>
          </a:extLst>
        </xdr:cNvPr>
        <xdr:cNvSpPr/>
      </xdr:nvSpPr>
      <xdr:spPr>
        <a:xfrm>
          <a:off x="5035550" y="1943100"/>
          <a:ext cx="876300" cy="330200"/>
        </a:xfrm>
        <a:prstGeom prst="roundRect">
          <a:avLst/>
        </a:prstGeom>
        <a:solidFill>
          <a:srgbClr val="1C90B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aseline="0">
              <a:latin typeface="Montserrat" panose="00000500000000000000" pitchFamily="2" charset="0"/>
            </a:rPr>
            <a:t>FEMININO</a:t>
          </a:r>
          <a:endParaRPr lang="pt-BR" sz="80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10</xdr:col>
      <xdr:colOff>50800</xdr:colOff>
      <xdr:row>10</xdr:row>
      <xdr:rowOff>107950</xdr:rowOff>
    </xdr:from>
    <xdr:to>
      <xdr:col>11</xdr:col>
      <xdr:colOff>514350</xdr:colOff>
      <xdr:row>12</xdr:row>
      <xdr:rowOff>69850</xdr:rowOff>
    </xdr:to>
    <xdr:sp macro="[0]!Outro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4CE01B1-6D74-417E-BCF9-D2EB1FC60B5C}"/>
            </a:ext>
          </a:extLst>
        </xdr:cNvPr>
        <xdr:cNvSpPr/>
      </xdr:nvSpPr>
      <xdr:spPr>
        <a:xfrm>
          <a:off x="7042150" y="1949450"/>
          <a:ext cx="990600" cy="330200"/>
        </a:xfrm>
        <a:prstGeom prst="roundRect">
          <a:avLst/>
        </a:prstGeom>
        <a:solidFill>
          <a:srgbClr val="61E0E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>
              <a:latin typeface="Montserrat" panose="00000500000000000000" pitchFamily="2" charset="0"/>
            </a:rPr>
            <a:t>OUTRO</a:t>
          </a:r>
        </a:p>
      </xdr:txBody>
    </xdr:sp>
    <xdr:clientData/>
  </xdr:twoCellAnchor>
  <xdr:twoCellAnchor editAs="absolute">
    <xdr:from>
      <xdr:col>8</xdr:col>
      <xdr:colOff>44450</xdr:colOff>
      <xdr:row>10</xdr:row>
      <xdr:rowOff>107950</xdr:rowOff>
    </xdr:from>
    <xdr:to>
      <xdr:col>9</xdr:col>
      <xdr:colOff>495300</xdr:colOff>
      <xdr:row>12</xdr:row>
      <xdr:rowOff>63500</xdr:rowOff>
    </xdr:to>
    <xdr:sp macro="[0]!Masculin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8B4EA10E-14AE-4701-94B3-2DD2709AF4EA}"/>
            </a:ext>
          </a:extLst>
        </xdr:cNvPr>
        <xdr:cNvSpPr/>
      </xdr:nvSpPr>
      <xdr:spPr>
        <a:xfrm>
          <a:off x="5981700" y="1949450"/>
          <a:ext cx="977900" cy="323850"/>
        </a:xfrm>
        <a:prstGeom prst="roundRect">
          <a:avLst/>
        </a:prstGeom>
        <a:solidFill>
          <a:srgbClr val="10BCCE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aseline="0">
              <a:latin typeface="Montserrat" panose="00000500000000000000" pitchFamily="2" charset="0"/>
            </a:rPr>
            <a:t>MASCULINO</a:t>
          </a:r>
          <a:endParaRPr lang="pt-BR" sz="80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5</xdr:col>
      <xdr:colOff>527050</xdr:colOff>
      <xdr:row>8</xdr:row>
      <xdr:rowOff>107950</xdr:rowOff>
    </xdr:from>
    <xdr:to>
      <xdr:col>11</xdr:col>
      <xdr:colOff>488950</xdr:colOff>
      <xdr:row>10</xdr:row>
      <xdr:rowOff>44450</xdr:rowOff>
    </xdr:to>
    <xdr:sp macro="[0]!Limpar_Filtro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BF8019E8-1724-4FEA-A63E-93B3010E1C69}"/>
            </a:ext>
          </a:extLst>
        </xdr:cNvPr>
        <xdr:cNvSpPr/>
      </xdr:nvSpPr>
      <xdr:spPr>
        <a:xfrm>
          <a:off x="5029200" y="1581150"/>
          <a:ext cx="2978150" cy="304800"/>
        </a:xfrm>
        <a:prstGeom prst="roundRect">
          <a:avLst/>
        </a:prstGeom>
        <a:solidFill>
          <a:srgbClr val="F72585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800">
              <a:latin typeface="Montserrat" panose="00000500000000000000" pitchFamily="2" charset="0"/>
            </a:rPr>
            <a:t>LIMPAR</a:t>
          </a:r>
          <a:r>
            <a:rPr lang="pt-BR" sz="800" baseline="0">
              <a:latin typeface="Montserrat" panose="00000500000000000000" pitchFamily="2" charset="0"/>
            </a:rPr>
            <a:t> FILTRO DO CADASTRO DE CLIENTE </a:t>
          </a:r>
          <a:endParaRPr lang="pt-BR" sz="80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5</xdr:col>
      <xdr:colOff>508907</xdr:colOff>
      <xdr:row>2</xdr:row>
      <xdr:rowOff>117928</xdr:rowOff>
    </xdr:from>
    <xdr:to>
      <xdr:col>11</xdr:col>
      <xdr:colOff>477157</xdr:colOff>
      <xdr:row>4</xdr:row>
      <xdr:rowOff>69850</xdr:rowOff>
    </xdr:to>
    <xdr:sp macro="[0]!Formulario_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96B27D-F2A4-8E07-F4DE-A6E03898A7CB}"/>
            </a:ext>
          </a:extLst>
        </xdr:cNvPr>
        <xdr:cNvSpPr/>
      </xdr:nvSpPr>
      <xdr:spPr>
        <a:xfrm>
          <a:off x="5011057" y="486228"/>
          <a:ext cx="2984500" cy="320222"/>
        </a:xfrm>
        <a:prstGeom prst="roundRect">
          <a:avLst/>
        </a:prstGeom>
        <a:solidFill>
          <a:srgbClr val="560BA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>
              <a:latin typeface="Montserrat" panose="00000500000000000000" pitchFamily="2" charset="0"/>
            </a:rPr>
            <a:t>CLICK</a:t>
          </a:r>
          <a:r>
            <a:rPr lang="pt-BR" sz="800" baseline="0">
              <a:latin typeface="Montserrat" panose="00000500000000000000" pitchFamily="2" charset="0"/>
            </a:rPr>
            <a:t> PARA ADICIONAR UM NOVO CLIENTE</a:t>
          </a:r>
          <a:endParaRPr lang="pt-BR" sz="80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11</xdr:col>
      <xdr:colOff>113336</xdr:colOff>
      <xdr:row>2</xdr:row>
      <xdr:rowOff>133350</xdr:rowOff>
    </xdr:from>
    <xdr:to>
      <xdr:col>11</xdr:col>
      <xdr:colOff>392899</xdr:colOff>
      <xdr:row>4</xdr:row>
      <xdr:rowOff>50800</xdr:rowOff>
    </xdr:to>
    <xdr:pic>
      <xdr:nvPicPr>
        <xdr:cNvPr id="14" name="Gráfico 13" descr="Usuário com preenchimento sólido">
          <a:extLst>
            <a:ext uri="{FF2B5EF4-FFF2-40B4-BE49-F238E27FC236}">
              <a16:creationId xmlns:a16="http://schemas.microsoft.com/office/drawing/2014/main" id="{FBF94B4B-6F75-49F9-9F20-D4D3D7044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631736" y="501650"/>
          <a:ext cx="279563" cy="285750"/>
        </a:xfrm>
        <a:prstGeom prst="rect">
          <a:avLst/>
        </a:prstGeom>
        <a:effectLst/>
      </xdr:spPr>
    </xdr:pic>
    <xdr:clientData/>
  </xdr:twoCellAnchor>
  <xdr:twoCellAnchor editAs="absolute">
    <xdr:from>
      <xdr:col>11</xdr:col>
      <xdr:colOff>79420</xdr:colOff>
      <xdr:row>6</xdr:row>
      <xdr:rowOff>152400</xdr:rowOff>
    </xdr:from>
    <xdr:to>
      <xdr:col>11</xdr:col>
      <xdr:colOff>374649</xdr:colOff>
      <xdr:row>8</xdr:row>
      <xdr:rowOff>52137</xdr:rowOff>
    </xdr:to>
    <xdr:pic>
      <xdr:nvPicPr>
        <xdr:cNvPr id="23" name="Gráfico 22" descr="Ampulheta 30% com preenchimento sólido">
          <a:extLst>
            <a:ext uri="{FF2B5EF4-FFF2-40B4-BE49-F238E27FC236}">
              <a16:creationId xmlns:a16="http://schemas.microsoft.com/office/drawing/2014/main" id="{FEDCAD44-F9C6-28A4-D4BC-55201BDC1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97820" y="1257300"/>
          <a:ext cx="295229" cy="268037"/>
        </a:xfrm>
        <a:prstGeom prst="rect">
          <a:avLst/>
        </a:prstGeom>
      </xdr:spPr>
    </xdr:pic>
    <xdr:clientData/>
  </xdr:twoCellAnchor>
  <xdr:twoCellAnchor editAs="absolute">
    <xdr:from>
      <xdr:col>11</xdr:col>
      <xdr:colOff>69850</xdr:colOff>
      <xdr:row>8</xdr:row>
      <xdr:rowOff>114300</xdr:rowOff>
    </xdr:from>
    <xdr:to>
      <xdr:col>11</xdr:col>
      <xdr:colOff>393700</xdr:colOff>
      <xdr:row>10</xdr:row>
      <xdr:rowOff>69850</xdr:rowOff>
    </xdr:to>
    <xdr:pic>
      <xdr:nvPicPr>
        <xdr:cNvPr id="25" name="Gráfico 24" descr="Filtro com preenchimento sólido">
          <a:extLst>
            <a:ext uri="{FF2B5EF4-FFF2-40B4-BE49-F238E27FC236}">
              <a16:creationId xmlns:a16="http://schemas.microsoft.com/office/drawing/2014/main" id="{4CE3FEA0-269C-0F0D-80EC-9173DF5F4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8250" y="1587500"/>
          <a:ext cx="323850" cy="323850"/>
        </a:xfrm>
        <a:prstGeom prst="rect">
          <a:avLst/>
        </a:prstGeom>
      </xdr:spPr>
    </xdr:pic>
    <xdr:clientData/>
  </xdr:twoCellAnchor>
  <xdr:twoCellAnchor editAs="absolute">
    <xdr:from>
      <xdr:col>11</xdr:col>
      <xdr:colOff>95250</xdr:colOff>
      <xdr:row>4</xdr:row>
      <xdr:rowOff>146050</xdr:rowOff>
    </xdr:from>
    <xdr:to>
      <xdr:col>11</xdr:col>
      <xdr:colOff>381000</xdr:colOff>
      <xdr:row>6</xdr:row>
      <xdr:rowOff>63500</xdr:rowOff>
    </xdr:to>
    <xdr:pic>
      <xdr:nvPicPr>
        <xdr:cNvPr id="29" name="Gráfico 28" descr="Embaralhar com preenchimento sólido">
          <a:extLst>
            <a:ext uri="{FF2B5EF4-FFF2-40B4-BE49-F238E27FC236}">
              <a16:creationId xmlns:a16="http://schemas.microsoft.com/office/drawing/2014/main" id="{57E22A8F-F9BE-DE19-AF5A-01C88520D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13650" y="882650"/>
          <a:ext cx="285750" cy="285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596900</xdr:colOff>
      <xdr:row>3</xdr:row>
      <xdr:rowOff>107950</xdr:rowOff>
    </xdr:from>
    <xdr:to>
      <xdr:col>8</xdr:col>
      <xdr:colOff>0</xdr:colOff>
      <xdr:row>5</xdr:row>
      <xdr:rowOff>0</xdr:rowOff>
    </xdr:to>
    <xdr:sp macro="[0]!Atualiz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827AE-57AA-4176-A7E7-CD332EDCA1E7}"/>
            </a:ext>
          </a:extLst>
        </xdr:cNvPr>
        <xdr:cNvSpPr/>
      </xdr:nvSpPr>
      <xdr:spPr>
        <a:xfrm>
          <a:off x="4343400" y="660400"/>
          <a:ext cx="2082800" cy="260350"/>
        </a:xfrm>
        <a:prstGeom prst="roundRect">
          <a:avLst>
            <a:gd name="adj" fmla="val 2773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50">
              <a:latin typeface="Montserrat" panose="00000500000000000000" pitchFamily="2" charset="0"/>
            </a:rPr>
            <a:t>Atualizar</a:t>
          </a:r>
          <a:r>
            <a:rPr lang="pt-BR" sz="1050" baseline="0">
              <a:latin typeface="Montserrat" panose="00000500000000000000" pitchFamily="2" charset="0"/>
            </a:rPr>
            <a:t> cotações</a:t>
          </a:r>
          <a:endParaRPr lang="pt-BR" sz="1050">
            <a:latin typeface="Montserrat" panose="00000500000000000000" pitchFamily="2" charset="0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rypto" preserveFormatting="0" connectionId="1" xr16:uid="{14DE5E59-AE71-4614-B178-9421EB97D587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D9082C-4082-4B9F-B325-B0C6F98CE94B}" name="Tabela2" displayName="Tabela2" ref="A1:E18" totalsRowShown="0" headerRowDxfId="6" dataDxfId="5">
  <autoFilter ref="A1:E18" xr:uid="{4ED9082C-4082-4B9F-B325-B0C6F98CE94B}"/>
  <sortState xmlns:xlrd2="http://schemas.microsoft.com/office/spreadsheetml/2017/richdata2" ref="A2:E18">
    <sortCondition ref="A1:A18"/>
  </sortState>
  <tableColumns count="5">
    <tableColumn id="1" xr3:uid="{1BD55F84-4B7D-4CED-8F4D-66EF7339D402}" name="Nome" dataDxfId="4"/>
    <tableColumn id="2" xr3:uid="{90537458-D3C5-43EC-863B-6E553DC62E2A}" name="Nascimento" dataDxfId="3"/>
    <tableColumn id="3" xr3:uid="{CA2DA73F-9ACF-4A7D-84CC-39A3D33BDF4E}" name="Idade" dataDxfId="2">
      <calculatedColumnFormula>DATEDIF(B2,TODAY(),"Y")</calculatedColumnFormula>
    </tableColumn>
    <tableColumn id="4" xr3:uid="{505C949E-397E-46FA-9B6A-21327A35CB2D}" name="Gênero" dataDxfId="1"/>
    <tableColumn id="5" xr3:uid="{C3A9138D-C188-4C4C-BB4A-F9E17620228E}" name="Registro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br.investing.com/crypto/?c1=233&amp;c2=12" TargetMode="External"/><Relationship Id="rId13" Type="http://schemas.openxmlformats.org/officeDocument/2006/relationships/hyperlink" Target="https://br.investing.com/crypto/cardano" TargetMode="External"/><Relationship Id="rId18" Type="http://schemas.openxmlformats.org/officeDocument/2006/relationships/hyperlink" Target="https://br.investing.com/crypto/?c1=1995&amp;c2=12" TargetMode="External"/><Relationship Id="rId3" Type="http://schemas.openxmlformats.org/officeDocument/2006/relationships/hyperlink" Target="https://br.investing.com/crypto/ethereum" TargetMode="External"/><Relationship Id="rId21" Type="http://schemas.openxmlformats.org/officeDocument/2006/relationships/queryTable" Target="../queryTables/queryTable1.xml"/><Relationship Id="rId7" Type="http://schemas.openxmlformats.org/officeDocument/2006/relationships/hyperlink" Target="https://br.investing.com/crypto/bnb" TargetMode="External"/><Relationship Id="rId12" Type="http://schemas.openxmlformats.org/officeDocument/2006/relationships/hyperlink" Target="https://br.investing.com/crypto/?c1=1869&amp;c2=12" TargetMode="External"/><Relationship Id="rId17" Type="http://schemas.openxmlformats.org/officeDocument/2006/relationships/hyperlink" Target="https://br.investing.com/crypto/solana" TargetMode="External"/><Relationship Id="rId2" Type="http://schemas.openxmlformats.org/officeDocument/2006/relationships/hyperlink" Target="https://br.investing.com/crypto/?c1=189&amp;c2=12" TargetMode="External"/><Relationship Id="rId16" Type="http://schemas.openxmlformats.org/officeDocument/2006/relationships/hyperlink" Target="https://br.investing.com/crypto/?c1=231&amp;c2=12" TargetMode="External"/><Relationship Id="rId20" Type="http://schemas.openxmlformats.org/officeDocument/2006/relationships/hyperlink" Target="https://br.investing.com/crypto/?c1=295&amp;c2=12" TargetMode="External"/><Relationship Id="rId1" Type="http://schemas.openxmlformats.org/officeDocument/2006/relationships/hyperlink" Target="https://br.investing.com/crypto/bitcoin" TargetMode="External"/><Relationship Id="rId6" Type="http://schemas.openxmlformats.org/officeDocument/2006/relationships/hyperlink" Target="https://br.investing.com/crypto/?c1=205&amp;c2=12" TargetMode="External"/><Relationship Id="rId11" Type="http://schemas.openxmlformats.org/officeDocument/2006/relationships/hyperlink" Target="https://br.investing.com/crypto/usd-coin" TargetMode="External"/><Relationship Id="rId5" Type="http://schemas.openxmlformats.org/officeDocument/2006/relationships/hyperlink" Target="https://br.investing.com/crypto/tether" TargetMode="External"/><Relationship Id="rId15" Type="http://schemas.openxmlformats.org/officeDocument/2006/relationships/hyperlink" Target="https://br.investing.com/crypto/dogecoin" TargetMode="External"/><Relationship Id="rId10" Type="http://schemas.openxmlformats.org/officeDocument/2006/relationships/hyperlink" Target="https://br.investing.com/crypto/?c1=197&amp;c2=12" TargetMode="External"/><Relationship Id="rId19" Type="http://schemas.openxmlformats.org/officeDocument/2006/relationships/hyperlink" Target="https://br.investing.com/crypto/tron" TargetMode="External"/><Relationship Id="rId4" Type="http://schemas.openxmlformats.org/officeDocument/2006/relationships/hyperlink" Target="https://br.investing.com/crypto/?c1=195&amp;c2=12" TargetMode="External"/><Relationship Id="rId9" Type="http://schemas.openxmlformats.org/officeDocument/2006/relationships/hyperlink" Target="https://br.investing.com/crypto/xrp" TargetMode="External"/><Relationship Id="rId14" Type="http://schemas.openxmlformats.org/officeDocument/2006/relationships/hyperlink" Target="https://br.investing.com/crypto/?c1=302&amp;c2=1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6EF75-39F9-4D5A-820A-219CD1605375}">
  <sheetPr codeName="Planilha2"/>
  <dimension ref="A1:M18"/>
  <sheetViews>
    <sheetView showGridLines="0" tabSelected="1" zoomScale="120" zoomScaleNormal="120" zoomScaleSheetLayoutView="40" workbookViewId="0">
      <selection activeCell="D10" sqref="D10"/>
    </sheetView>
  </sheetViews>
  <sheetFormatPr defaultRowHeight="14.4" x14ac:dyDescent="0.3"/>
  <cols>
    <col min="1" max="1" width="12.33203125" customWidth="1"/>
    <col min="2" max="5" width="13.33203125" customWidth="1"/>
    <col min="6" max="6" width="13.21875" bestFit="1" customWidth="1"/>
    <col min="7" max="7" width="7.6640625" style="1" customWidth="1"/>
    <col min="8" max="8" width="11.6640625" style="1" hidden="1" customWidth="1"/>
    <col min="9" max="9" width="7.6640625" style="1" customWidth="1"/>
    <col min="10" max="14" width="7.6640625" customWidth="1"/>
    <col min="15" max="15" width="10.5546875" bestFit="1" customWidth="1"/>
  </cols>
  <sheetData>
    <row r="1" spans="1:13" x14ac:dyDescent="0.3">
      <c r="A1" s="17" t="s">
        <v>0</v>
      </c>
      <c r="B1" s="17" t="s">
        <v>1</v>
      </c>
      <c r="C1" s="17" t="s">
        <v>4</v>
      </c>
      <c r="D1" s="17" t="s">
        <v>2</v>
      </c>
      <c r="E1" s="17" t="s">
        <v>549</v>
      </c>
      <c r="F1" s="2"/>
      <c r="H1" s="18" t="s">
        <v>5</v>
      </c>
      <c r="I1"/>
    </row>
    <row r="2" spans="1:13" x14ac:dyDescent="0.3">
      <c r="A2" s="2" t="s">
        <v>533</v>
      </c>
      <c r="B2" s="3">
        <v>36650</v>
      </c>
      <c r="C2" s="2">
        <f ca="1">DATEDIF(B2,TODAY(),"Y")</f>
        <v>23</v>
      </c>
      <c r="D2" s="2" t="s">
        <v>5</v>
      </c>
      <c r="E2" s="2" t="s">
        <v>552</v>
      </c>
      <c r="F2" s="1"/>
      <c r="H2" s="18" t="s">
        <v>3</v>
      </c>
    </row>
    <row r="3" spans="1:13" x14ac:dyDescent="0.3">
      <c r="A3" s="2" t="s">
        <v>534</v>
      </c>
      <c r="B3" s="3">
        <v>32519</v>
      </c>
      <c r="C3" s="2">
        <f ca="1">DATEDIF(B3,TODAY(),"Y")</f>
        <v>34</v>
      </c>
      <c r="D3" s="2" t="s">
        <v>3</v>
      </c>
      <c r="E3" s="2" t="s">
        <v>553</v>
      </c>
      <c r="F3" s="1"/>
      <c r="H3" s="18" t="s">
        <v>6</v>
      </c>
      <c r="I3"/>
    </row>
    <row r="4" spans="1:13" x14ac:dyDescent="0.3">
      <c r="A4" s="2" t="s">
        <v>535</v>
      </c>
      <c r="B4" s="3">
        <v>28785</v>
      </c>
      <c r="C4" s="2">
        <f ca="1">DATEDIF(B4,TODAY(),"Y")</f>
        <v>44</v>
      </c>
      <c r="D4" s="2" t="s">
        <v>5</v>
      </c>
      <c r="E4" s="2" t="s">
        <v>554</v>
      </c>
      <c r="F4" s="1"/>
      <c r="H4"/>
      <c r="I4"/>
    </row>
    <row r="5" spans="1:13" x14ac:dyDescent="0.3">
      <c r="A5" s="2" t="s">
        <v>536</v>
      </c>
      <c r="B5" s="3">
        <v>32637</v>
      </c>
      <c r="C5" s="2">
        <f ca="1">DATEDIF(B5,TODAY(),"Y")</f>
        <v>34</v>
      </c>
      <c r="D5" s="2" t="s">
        <v>6</v>
      </c>
      <c r="E5" s="2" t="s">
        <v>555</v>
      </c>
      <c r="F5" s="1"/>
      <c r="H5"/>
      <c r="I5"/>
    </row>
    <row r="6" spans="1:13" x14ac:dyDescent="0.3">
      <c r="A6" s="2" t="s">
        <v>537</v>
      </c>
      <c r="B6" s="3">
        <v>27024</v>
      </c>
      <c r="C6" s="2">
        <f ca="1">DATEDIF(B6,TODAY(),"Y")</f>
        <v>49</v>
      </c>
      <c r="D6" s="2" t="s">
        <v>3</v>
      </c>
      <c r="E6" s="2" t="s">
        <v>556</v>
      </c>
      <c r="F6" s="1"/>
      <c r="H6"/>
      <c r="I6"/>
    </row>
    <row r="7" spans="1:13" x14ac:dyDescent="0.3">
      <c r="A7" s="2" t="s">
        <v>538</v>
      </c>
      <c r="B7" s="3">
        <v>36324</v>
      </c>
      <c r="C7" s="2">
        <f ca="1">DATEDIF(B7,TODAY(),"Y")</f>
        <v>24</v>
      </c>
      <c r="D7" s="2" t="s">
        <v>5</v>
      </c>
      <c r="E7" s="2" t="s">
        <v>557</v>
      </c>
      <c r="F7" s="1"/>
      <c r="H7"/>
      <c r="I7"/>
    </row>
    <row r="8" spans="1:13" x14ac:dyDescent="0.3">
      <c r="A8" s="2" t="s">
        <v>539</v>
      </c>
      <c r="B8" s="3">
        <v>30901</v>
      </c>
      <c r="C8" s="2">
        <f ca="1">DATEDIF(B8,TODAY(),"Y")</f>
        <v>39</v>
      </c>
      <c r="D8" s="2" t="s">
        <v>5</v>
      </c>
      <c r="E8" s="2" t="s">
        <v>558</v>
      </c>
      <c r="F8" s="1"/>
      <c r="H8"/>
      <c r="I8"/>
      <c r="M8" s="4"/>
    </row>
    <row r="9" spans="1:13" x14ac:dyDescent="0.3">
      <c r="A9" s="2" t="s">
        <v>540</v>
      </c>
      <c r="B9" s="3">
        <v>34432</v>
      </c>
      <c r="C9" s="2">
        <f ca="1">DATEDIF(B9,TODAY(),"Y")</f>
        <v>29</v>
      </c>
      <c r="D9" s="2" t="s">
        <v>5</v>
      </c>
      <c r="E9" s="2" t="s">
        <v>559</v>
      </c>
      <c r="F9" s="1"/>
      <c r="H9"/>
      <c r="I9"/>
      <c r="M9" s="4"/>
    </row>
    <row r="10" spans="1:13" x14ac:dyDescent="0.3">
      <c r="A10" s="2" t="s">
        <v>541</v>
      </c>
      <c r="B10" s="3">
        <v>33924</v>
      </c>
      <c r="C10" s="2">
        <f ca="1">DATEDIF(B10,TODAY(),"Y")</f>
        <v>30</v>
      </c>
      <c r="D10" s="2" t="s">
        <v>3</v>
      </c>
      <c r="E10" s="2" t="s">
        <v>560</v>
      </c>
      <c r="F10" s="1"/>
      <c r="H10"/>
      <c r="I10"/>
    </row>
    <row r="11" spans="1:13" x14ac:dyDescent="0.3">
      <c r="A11" s="2" t="s">
        <v>542</v>
      </c>
      <c r="B11" s="3">
        <v>27409</v>
      </c>
      <c r="C11" s="2">
        <f ca="1">DATEDIF(B11,TODAY(),"Y")</f>
        <v>48</v>
      </c>
      <c r="D11" s="2" t="s">
        <v>3</v>
      </c>
      <c r="E11" s="2" t="s">
        <v>561</v>
      </c>
      <c r="F11" s="1"/>
      <c r="H11"/>
      <c r="I11"/>
    </row>
    <row r="12" spans="1:13" x14ac:dyDescent="0.3">
      <c r="A12" s="2" t="s">
        <v>543</v>
      </c>
      <c r="B12" s="3">
        <v>28758</v>
      </c>
      <c r="C12" s="2">
        <f ca="1">DATEDIF(B12,TODAY(),"Y")</f>
        <v>44</v>
      </c>
      <c r="D12" s="2" t="s">
        <v>3</v>
      </c>
      <c r="E12" s="2" t="s">
        <v>562</v>
      </c>
      <c r="F12" s="1"/>
      <c r="H12"/>
      <c r="I12"/>
    </row>
    <row r="13" spans="1:13" x14ac:dyDescent="0.3">
      <c r="A13" s="2" t="s">
        <v>544</v>
      </c>
      <c r="B13" s="3">
        <v>34709</v>
      </c>
      <c r="C13" s="2">
        <f ca="1">DATEDIF(B13,TODAY(),"Y")</f>
        <v>28</v>
      </c>
      <c r="D13" s="2" t="s">
        <v>3</v>
      </c>
      <c r="E13" s="2" t="s">
        <v>563</v>
      </c>
      <c r="F13" s="1"/>
      <c r="H13"/>
      <c r="I13"/>
    </row>
    <row r="14" spans="1:13" x14ac:dyDescent="0.3">
      <c r="A14" s="2" t="s">
        <v>545</v>
      </c>
      <c r="B14" s="3">
        <v>27185</v>
      </c>
      <c r="C14" s="2">
        <f ca="1">DATEDIF(B14,TODAY(),"Y")</f>
        <v>49</v>
      </c>
      <c r="D14" s="2" t="s">
        <v>6</v>
      </c>
      <c r="E14" s="2" t="s">
        <v>553</v>
      </c>
      <c r="F14" s="1"/>
      <c r="H14"/>
      <c r="I14"/>
    </row>
    <row r="15" spans="1:13" x14ac:dyDescent="0.3">
      <c r="A15" s="2" t="s">
        <v>546</v>
      </c>
      <c r="B15" s="3">
        <v>37410</v>
      </c>
      <c r="C15" s="2">
        <f ca="1">DATEDIF(B15,TODAY(),"Y")</f>
        <v>21</v>
      </c>
      <c r="D15" s="2" t="s">
        <v>3</v>
      </c>
      <c r="E15" s="2" t="s">
        <v>564</v>
      </c>
      <c r="F15" s="1"/>
      <c r="H15"/>
      <c r="I15"/>
    </row>
    <row r="16" spans="1:13" x14ac:dyDescent="0.3">
      <c r="A16" s="2" t="s">
        <v>547</v>
      </c>
      <c r="B16" s="3">
        <v>28059</v>
      </c>
      <c r="C16" s="2">
        <f ca="1">DATEDIF(B16,TODAY(),"Y")</f>
        <v>46</v>
      </c>
      <c r="D16" s="2" t="s">
        <v>5</v>
      </c>
      <c r="E16" s="2" t="s">
        <v>565</v>
      </c>
      <c r="F16" s="1"/>
      <c r="H16"/>
      <c r="I16"/>
    </row>
    <row r="17" spans="1:9" x14ac:dyDescent="0.3">
      <c r="A17" s="2" t="s">
        <v>548</v>
      </c>
      <c r="B17" s="3">
        <v>37302</v>
      </c>
      <c r="C17" s="2">
        <f ca="1">DATEDIF(B17,TODAY(),"Y")</f>
        <v>21</v>
      </c>
      <c r="D17" s="2" t="s">
        <v>3</v>
      </c>
      <c r="E17" s="2" t="s">
        <v>566</v>
      </c>
      <c r="F17" s="1"/>
      <c r="H17"/>
      <c r="I17"/>
    </row>
    <row r="18" spans="1:9" x14ac:dyDescent="0.3">
      <c r="A18" s="2" t="s">
        <v>567</v>
      </c>
      <c r="B18" s="3">
        <v>20328</v>
      </c>
      <c r="C18" s="2">
        <f ca="1">DATEDIF(B18,TODAY(),"Y")</f>
        <v>67</v>
      </c>
      <c r="D18" s="2" t="s">
        <v>5</v>
      </c>
      <c r="E18" s="2" t="s">
        <v>568</v>
      </c>
    </row>
  </sheetData>
  <dataValidations count="1">
    <dataValidation type="list" allowBlank="1" showInputMessage="1" showErrorMessage="1" sqref="H7 D2:D18" xr:uid="{FBBBF76C-EF7E-437F-A534-E1190606BA4A}">
      <formula1>$H$1:$H$3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00519-81AB-42B9-A5F3-77FF244406A0}">
  <sheetPr codeName="Planilha1"/>
  <dimension ref="A1:H501"/>
  <sheetViews>
    <sheetView showGridLines="0" zoomScale="120" zoomScaleNormal="120" workbookViewId="0">
      <selection activeCell="F5" sqref="F5"/>
    </sheetView>
  </sheetViews>
  <sheetFormatPr defaultRowHeight="14.4" x14ac:dyDescent="0.3"/>
  <cols>
    <col min="1" max="2" width="12.21875" customWidth="1"/>
    <col min="3" max="3" width="9.109375" customWidth="1"/>
    <col min="4" max="4" width="12.21875" customWidth="1"/>
    <col min="7" max="8" width="15.109375" customWidth="1"/>
  </cols>
  <sheetData>
    <row r="1" spans="1:8" x14ac:dyDescent="0.3">
      <c r="A1" s="5" t="s">
        <v>7</v>
      </c>
      <c r="B1" s="5" t="s">
        <v>8</v>
      </c>
      <c r="C1" s="5" t="s">
        <v>9</v>
      </c>
      <c r="D1" s="5" t="s">
        <v>10</v>
      </c>
      <c r="G1" s="14" t="s">
        <v>530</v>
      </c>
      <c r="H1" s="14" t="s">
        <v>513</v>
      </c>
    </row>
    <row r="2" spans="1:8" x14ac:dyDescent="0.3">
      <c r="A2" s="2" t="s">
        <v>11</v>
      </c>
      <c r="B2" s="2" t="s">
        <v>12</v>
      </c>
      <c r="C2" s="6">
        <v>1.69</v>
      </c>
      <c r="D2" s="7">
        <f>IF(B2=$G$2,C2*$H$2,$H$3)</f>
        <v>1602.08</v>
      </c>
      <c r="G2" s="15" t="s">
        <v>14</v>
      </c>
      <c r="H2" s="16">
        <f>'Valor Criptomoeda'!E2</f>
        <v>25667</v>
      </c>
    </row>
    <row r="3" spans="1:8" x14ac:dyDescent="0.3">
      <c r="A3" s="2" t="s">
        <v>13</v>
      </c>
      <c r="B3" s="2" t="s">
        <v>14</v>
      </c>
      <c r="C3" s="6">
        <v>1.37</v>
      </c>
      <c r="D3" s="7">
        <f t="shared" ref="D3:D66" si="0">IF(B3=$G$2,C3*$H$2,$H$3)</f>
        <v>35163.79</v>
      </c>
      <c r="G3" s="15" t="s">
        <v>12</v>
      </c>
      <c r="H3" s="16">
        <f>'Valor Criptomoeda'!E3</f>
        <v>1602.08</v>
      </c>
    </row>
    <row r="4" spans="1:8" x14ac:dyDescent="0.3">
      <c r="A4" s="2" t="s">
        <v>15</v>
      </c>
      <c r="B4" s="2" t="s">
        <v>14</v>
      </c>
      <c r="C4" s="6">
        <v>1.08</v>
      </c>
      <c r="D4" s="7">
        <f t="shared" si="0"/>
        <v>27720.36</v>
      </c>
    </row>
    <row r="5" spans="1:8" x14ac:dyDescent="0.3">
      <c r="A5" s="2" t="s">
        <v>16</v>
      </c>
      <c r="B5" s="2" t="s">
        <v>14</v>
      </c>
      <c r="C5" s="6">
        <v>1.1599999999999999</v>
      </c>
      <c r="D5" s="7">
        <f t="shared" si="0"/>
        <v>29773.719999999998</v>
      </c>
    </row>
    <row r="6" spans="1:8" x14ac:dyDescent="0.3">
      <c r="A6" s="2" t="s">
        <v>17</v>
      </c>
      <c r="B6" s="2" t="s">
        <v>12</v>
      </c>
      <c r="C6" s="6">
        <v>1.05</v>
      </c>
      <c r="D6" s="7">
        <f t="shared" si="0"/>
        <v>1602.08</v>
      </c>
    </row>
    <row r="7" spans="1:8" x14ac:dyDescent="0.3">
      <c r="A7" s="2" t="s">
        <v>18</v>
      </c>
      <c r="B7" s="2" t="s">
        <v>14</v>
      </c>
      <c r="C7" s="6">
        <v>1.59</v>
      </c>
      <c r="D7" s="7">
        <f t="shared" si="0"/>
        <v>40810.53</v>
      </c>
    </row>
    <row r="8" spans="1:8" x14ac:dyDescent="0.3">
      <c r="A8" s="2" t="s">
        <v>19</v>
      </c>
      <c r="B8" s="2" t="s">
        <v>12</v>
      </c>
      <c r="C8" s="6">
        <v>1.34</v>
      </c>
      <c r="D8" s="7">
        <f t="shared" si="0"/>
        <v>1602.08</v>
      </c>
    </row>
    <row r="9" spans="1:8" x14ac:dyDescent="0.3">
      <c r="A9" s="2" t="s">
        <v>20</v>
      </c>
      <c r="B9" s="2" t="s">
        <v>14</v>
      </c>
      <c r="C9" s="6">
        <v>1.22</v>
      </c>
      <c r="D9" s="7">
        <f t="shared" si="0"/>
        <v>31313.739999999998</v>
      </c>
    </row>
    <row r="10" spans="1:8" x14ac:dyDescent="0.3">
      <c r="A10" s="2" t="s">
        <v>21</v>
      </c>
      <c r="B10" s="2" t="s">
        <v>12</v>
      </c>
      <c r="C10" s="6">
        <v>1.1499999999999999</v>
      </c>
      <c r="D10" s="7">
        <f t="shared" si="0"/>
        <v>1602.08</v>
      </c>
    </row>
    <row r="11" spans="1:8" x14ac:dyDescent="0.3">
      <c r="A11" s="2" t="s">
        <v>22</v>
      </c>
      <c r="B11" s="2" t="s">
        <v>12</v>
      </c>
      <c r="C11" s="6">
        <v>1.84</v>
      </c>
      <c r="D11" s="7">
        <f t="shared" si="0"/>
        <v>1602.08</v>
      </c>
    </row>
    <row r="12" spans="1:8" x14ac:dyDescent="0.3">
      <c r="A12" s="2" t="s">
        <v>23</v>
      </c>
      <c r="B12" s="2" t="s">
        <v>14</v>
      </c>
      <c r="C12" s="6">
        <v>1.98</v>
      </c>
      <c r="D12" s="7">
        <f t="shared" si="0"/>
        <v>50820.659999999996</v>
      </c>
    </row>
    <row r="13" spans="1:8" x14ac:dyDescent="0.3">
      <c r="A13" s="2" t="s">
        <v>24</v>
      </c>
      <c r="B13" s="2" t="s">
        <v>12</v>
      </c>
      <c r="C13" s="6">
        <v>1.25</v>
      </c>
      <c r="D13" s="7">
        <f t="shared" si="0"/>
        <v>1602.08</v>
      </c>
    </row>
    <row r="14" spans="1:8" x14ac:dyDescent="0.3">
      <c r="A14" s="2" t="s">
        <v>25</v>
      </c>
      <c r="B14" s="2" t="s">
        <v>14</v>
      </c>
      <c r="C14" s="6">
        <v>1.96</v>
      </c>
      <c r="D14" s="7">
        <f t="shared" si="0"/>
        <v>50307.32</v>
      </c>
    </row>
    <row r="15" spans="1:8" x14ac:dyDescent="0.3">
      <c r="A15" s="2" t="s">
        <v>26</v>
      </c>
      <c r="B15" s="2" t="s">
        <v>12</v>
      </c>
      <c r="C15" s="6">
        <v>1.1299999999999999</v>
      </c>
      <c r="D15" s="7">
        <f t="shared" si="0"/>
        <v>1602.08</v>
      </c>
    </row>
    <row r="16" spans="1:8" x14ac:dyDescent="0.3">
      <c r="A16" s="2" t="s">
        <v>27</v>
      </c>
      <c r="B16" s="2" t="s">
        <v>12</v>
      </c>
      <c r="C16" s="6">
        <v>1.44</v>
      </c>
      <c r="D16" s="7">
        <f>IF(B16=$G$2,C16*$H$2,$H$3)</f>
        <v>1602.08</v>
      </c>
    </row>
    <row r="17" spans="1:4" x14ac:dyDescent="0.3">
      <c r="A17" s="2" t="s">
        <v>28</v>
      </c>
      <c r="B17" s="2" t="s">
        <v>14</v>
      </c>
      <c r="C17" s="6">
        <v>1.18</v>
      </c>
      <c r="D17" s="7">
        <f t="shared" si="0"/>
        <v>30287.059999999998</v>
      </c>
    </row>
    <row r="18" spans="1:4" x14ac:dyDescent="0.3">
      <c r="A18" s="2" t="s">
        <v>29</v>
      </c>
      <c r="B18" s="2" t="s">
        <v>12</v>
      </c>
      <c r="C18" s="6">
        <v>1.8</v>
      </c>
      <c r="D18" s="7">
        <f t="shared" si="0"/>
        <v>1602.08</v>
      </c>
    </row>
    <row r="19" spans="1:4" x14ac:dyDescent="0.3">
      <c r="A19" s="2" t="s">
        <v>30</v>
      </c>
      <c r="B19" s="2" t="s">
        <v>14</v>
      </c>
      <c r="C19" s="6">
        <v>1.46</v>
      </c>
      <c r="D19" s="7">
        <f t="shared" si="0"/>
        <v>37473.82</v>
      </c>
    </row>
    <row r="20" spans="1:4" x14ac:dyDescent="0.3">
      <c r="A20" s="2" t="s">
        <v>31</v>
      </c>
      <c r="B20" s="2" t="s">
        <v>12</v>
      </c>
      <c r="C20" s="6">
        <v>1.99</v>
      </c>
      <c r="D20" s="7">
        <f t="shared" si="0"/>
        <v>1602.08</v>
      </c>
    </row>
    <row r="21" spans="1:4" x14ac:dyDescent="0.3">
      <c r="A21" s="2" t="s">
        <v>32</v>
      </c>
      <c r="B21" s="2" t="s">
        <v>14</v>
      </c>
      <c r="C21" s="6">
        <v>1.81</v>
      </c>
      <c r="D21" s="7">
        <f t="shared" si="0"/>
        <v>46457.270000000004</v>
      </c>
    </row>
    <row r="22" spans="1:4" x14ac:dyDescent="0.3">
      <c r="A22" s="2" t="s">
        <v>33</v>
      </c>
      <c r="B22" s="2" t="s">
        <v>12</v>
      </c>
      <c r="C22" s="6">
        <v>1.46</v>
      </c>
      <c r="D22" s="7">
        <f t="shared" si="0"/>
        <v>1602.08</v>
      </c>
    </row>
    <row r="23" spans="1:4" x14ac:dyDescent="0.3">
      <c r="A23" s="2" t="s">
        <v>34</v>
      </c>
      <c r="B23" s="2" t="s">
        <v>14</v>
      </c>
      <c r="C23" s="6">
        <v>1.98</v>
      </c>
      <c r="D23" s="7">
        <f t="shared" si="0"/>
        <v>50820.659999999996</v>
      </c>
    </row>
    <row r="24" spans="1:4" x14ac:dyDescent="0.3">
      <c r="A24" s="2" t="s">
        <v>35</v>
      </c>
      <c r="B24" s="2" t="s">
        <v>12</v>
      </c>
      <c r="C24" s="6">
        <v>1.69</v>
      </c>
      <c r="D24" s="7">
        <f t="shared" si="0"/>
        <v>1602.08</v>
      </c>
    </row>
    <row r="25" spans="1:4" x14ac:dyDescent="0.3">
      <c r="A25" s="2" t="s">
        <v>36</v>
      </c>
      <c r="B25" s="2" t="s">
        <v>12</v>
      </c>
      <c r="C25" s="6">
        <v>1.44</v>
      </c>
      <c r="D25" s="7">
        <f t="shared" si="0"/>
        <v>1602.08</v>
      </c>
    </row>
    <row r="26" spans="1:4" x14ac:dyDescent="0.3">
      <c r="A26" s="2" t="s">
        <v>37</v>
      </c>
      <c r="B26" s="2" t="s">
        <v>14</v>
      </c>
      <c r="C26" s="6">
        <v>1.01</v>
      </c>
      <c r="D26" s="7">
        <f t="shared" si="0"/>
        <v>25923.670000000002</v>
      </c>
    </row>
    <row r="27" spans="1:4" x14ac:dyDescent="0.3">
      <c r="A27" s="2" t="s">
        <v>38</v>
      </c>
      <c r="B27" s="2" t="s">
        <v>12</v>
      </c>
      <c r="C27" s="6">
        <v>1.91</v>
      </c>
      <c r="D27" s="7">
        <f t="shared" si="0"/>
        <v>1602.08</v>
      </c>
    </row>
    <row r="28" spans="1:4" x14ac:dyDescent="0.3">
      <c r="A28" s="2" t="s">
        <v>39</v>
      </c>
      <c r="B28" s="2" t="s">
        <v>12</v>
      </c>
      <c r="C28" s="6">
        <v>1.25</v>
      </c>
      <c r="D28" s="7">
        <f t="shared" si="0"/>
        <v>1602.08</v>
      </c>
    </row>
    <row r="29" spans="1:4" x14ac:dyDescent="0.3">
      <c r="A29" s="2" t="s">
        <v>40</v>
      </c>
      <c r="B29" s="2" t="s">
        <v>14</v>
      </c>
      <c r="C29" s="6">
        <v>1.53</v>
      </c>
      <c r="D29" s="7">
        <f t="shared" si="0"/>
        <v>39270.51</v>
      </c>
    </row>
    <row r="30" spans="1:4" x14ac:dyDescent="0.3">
      <c r="A30" s="2" t="s">
        <v>41</v>
      </c>
      <c r="B30" s="2" t="s">
        <v>14</v>
      </c>
      <c r="C30" s="6">
        <v>1.75</v>
      </c>
      <c r="D30" s="7">
        <f t="shared" si="0"/>
        <v>44917.25</v>
      </c>
    </row>
    <row r="31" spans="1:4" x14ac:dyDescent="0.3">
      <c r="A31" s="2" t="s">
        <v>42</v>
      </c>
      <c r="B31" s="2" t="s">
        <v>14</v>
      </c>
      <c r="C31" s="6">
        <v>1.97</v>
      </c>
      <c r="D31" s="7">
        <f t="shared" si="0"/>
        <v>50563.99</v>
      </c>
    </row>
    <row r="32" spans="1:4" x14ac:dyDescent="0.3">
      <c r="A32" s="2" t="s">
        <v>43</v>
      </c>
      <c r="B32" s="2" t="s">
        <v>14</v>
      </c>
      <c r="C32" s="6">
        <v>1.06</v>
      </c>
      <c r="D32" s="7">
        <f t="shared" si="0"/>
        <v>27207.02</v>
      </c>
    </row>
    <row r="33" spans="1:4" x14ac:dyDescent="0.3">
      <c r="A33" s="2" t="s">
        <v>44</v>
      </c>
      <c r="B33" s="2" t="s">
        <v>14</v>
      </c>
      <c r="C33" s="6">
        <v>1.55</v>
      </c>
      <c r="D33" s="7">
        <f t="shared" si="0"/>
        <v>39783.85</v>
      </c>
    </row>
    <row r="34" spans="1:4" x14ac:dyDescent="0.3">
      <c r="A34" s="2" t="s">
        <v>45</v>
      </c>
      <c r="B34" s="2" t="s">
        <v>14</v>
      </c>
      <c r="C34" s="6">
        <v>1.86</v>
      </c>
      <c r="D34" s="7">
        <f t="shared" si="0"/>
        <v>47740.62</v>
      </c>
    </row>
    <row r="35" spans="1:4" x14ac:dyDescent="0.3">
      <c r="A35" s="2" t="s">
        <v>46</v>
      </c>
      <c r="B35" s="2" t="s">
        <v>14</v>
      </c>
      <c r="C35" s="6">
        <v>1.83</v>
      </c>
      <c r="D35" s="7">
        <f t="shared" si="0"/>
        <v>46970.61</v>
      </c>
    </row>
    <row r="36" spans="1:4" x14ac:dyDescent="0.3">
      <c r="A36" s="2" t="s">
        <v>47</v>
      </c>
      <c r="B36" s="2" t="s">
        <v>14</v>
      </c>
      <c r="C36" s="6">
        <v>1.51</v>
      </c>
      <c r="D36" s="7">
        <f t="shared" si="0"/>
        <v>38757.17</v>
      </c>
    </row>
    <row r="37" spans="1:4" x14ac:dyDescent="0.3">
      <c r="A37" s="2" t="s">
        <v>48</v>
      </c>
      <c r="B37" s="2" t="s">
        <v>14</v>
      </c>
      <c r="C37" s="6">
        <v>1.27</v>
      </c>
      <c r="D37" s="7">
        <f t="shared" si="0"/>
        <v>32597.09</v>
      </c>
    </row>
    <row r="38" spans="1:4" x14ac:dyDescent="0.3">
      <c r="A38" s="2" t="s">
        <v>49</v>
      </c>
      <c r="B38" s="2" t="s">
        <v>12</v>
      </c>
      <c r="C38" s="6">
        <v>1.94</v>
      </c>
      <c r="D38" s="7">
        <f t="shared" si="0"/>
        <v>1602.08</v>
      </c>
    </row>
    <row r="39" spans="1:4" x14ac:dyDescent="0.3">
      <c r="A39" s="2" t="s">
        <v>50</v>
      </c>
      <c r="B39" s="2" t="s">
        <v>14</v>
      </c>
      <c r="C39" s="6">
        <v>1.87</v>
      </c>
      <c r="D39" s="7">
        <f t="shared" si="0"/>
        <v>47997.29</v>
      </c>
    </row>
    <row r="40" spans="1:4" x14ac:dyDescent="0.3">
      <c r="A40" s="2" t="s">
        <v>51</v>
      </c>
      <c r="B40" s="2" t="s">
        <v>12</v>
      </c>
      <c r="C40" s="6">
        <v>1.29</v>
      </c>
      <c r="D40" s="7">
        <f t="shared" si="0"/>
        <v>1602.08</v>
      </c>
    </row>
    <row r="41" spans="1:4" x14ac:dyDescent="0.3">
      <c r="A41" s="2" t="s">
        <v>52</v>
      </c>
      <c r="B41" s="2" t="s">
        <v>14</v>
      </c>
      <c r="C41" s="6">
        <v>1.06</v>
      </c>
      <c r="D41" s="7">
        <f t="shared" si="0"/>
        <v>27207.02</v>
      </c>
    </row>
    <row r="42" spans="1:4" x14ac:dyDescent="0.3">
      <c r="A42" s="2" t="s">
        <v>53</v>
      </c>
      <c r="B42" s="2" t="s">
        <v>12</v>
      </c>
      <c r="C42" s="6">
        <v>1.05</v>
      </c>
      <c r="D42" s="7">
        <f t="shared" si="0"/>
        <v>1602.08</v>
      </c>
    </row>
    <row r="43" spans="1:4" x14ac:dyDescent="0.3">
      <c r="A43" s="2" t="s">
        <v>54</v>
      </c>
      <c r="B43" s="2" t="s">
        <v>12</v>
      </c>
      <c r="C43" s="6">
        <v>1.05</v>
      </c>
      <c r="D43" s="7">
        <f t="shared" si="0"/>
        <v>1602.08</v>
      </c>
    </row>
    <row r="44" spans="1:4" x14ac:dyDescent="0.3">
      <c r="A44" s="2" t="s">
        <v>55</v>
      </c>
      <c r="B44" s="2" t="s">
        <v>12</v>
      </c>
      <c r="C44" s="6">
        <v>1.95</v>
      </c>
      <c r="D44" s="7">
        <f t="shared" si="0"/>
        <v>1602.08</v>
      </c>
    </row>
    <row r="45" spans="1:4" x14ac:dyDescent="0.3">
      <c r="A45" s="2" t="s">
        <v>56</v>
      </c>
      <c r="B45" s="2" t="s">
        <v>12</v>
      </c>
      <c r="C45" s="6">
        <v>1.3</v>
      </c>
      <c r="D45" s="7">
        <f t="shared" si="0"/>
        <v>1602.08</v>
      </c>
    </row>
    <row r="46" spans="1:4" x14ac:dyDescent="0.3">
      <c r="A46" s="2" t="s">
        <v>57</v>
      </c>
      <c r="B46" s="2" t="s">
        <v>14</v>
      </c>
      <c r="C46" s="6">
        <v>1.1399999999999999</v>
      </c>
      <c r="D46" s="7">
        <f t="shared" si="0"/>
        <v>29260.379999999997</v>
      </c>
    </row>
    <row r="47" spans="1:4" x14ac:dyDescent="0.3">
      <c r="A47" s="2" t="s">
        <v>58</v>
      </c>
      <c r="B47" s="2" t="s">
        <v>14</v>
      </c>
      <c r="C47" s="6">
        <v>1.39</v>
      </c>
      <c r="D47" s="7">
        <f t="shared" si="0"/>
        <v>35677.129999999997</v>
      </c>
    </row>
    <row r="48" spans="1:4" x14ac:dyDescent="0.3">
      <c r="A48" s="2" t="s">
        <v>59</v>
      </c>
      <c r="B48" s="2" t="s">
        <v>14</v>
      </c>
      <c r="C48" s="6">
        <v>1.65</v>
      </c>
      <c r="D48" s="7">
        <f t="shared" si="0"/>
        <v>42350.549999999996</v>
      </c>
    </row>
    <row r="49" spans="1:4" x14ac:dyDescent="0.3">
      <c r="A49" s="2" t="s">
        <v>60</v>
      </c>
      <c r="B49" s="2" t="s">
        <v>12</v>
      </c>
      <c r="C49" s="6">
        <v>1.71</v>
      </c>
      <c r="D49" s="7">
        <f t="shared" si="0"/>
        <v>1602.08</v>
      </c>
    </row>
    <row r="50" spans="1:4" x14ac:dyDescent="0.3">
      <c r="A50" s="2" t="s">
        <v>61</v>
      </c>
      <c r="B50" s="2" t="s">
        <v>12</v>
      </c>
      <c r="C50" s="6">
        <v>1.54</v>
      </c>
      <c r="D50" s="7">
        <f t="shared" si="0"/>
        <v>1602.08</v>
      </c>
    </row>
    <row r="51" spans="1:4" x14ac:dyDescent="0.3">
      <c r="A51" s="2" t="s">
        <v>62</v>
      </c>
      <c r="B51" s="2" t="s">
        <v>12</v>
      </c>
      <c r="C51" s="6">
        <v>1.59</v>
      </c>
      <c r="D51" s="7">
        <f t="shared" si="0"/>
        <v>1602.08</v>
      </c>
    </row>
    <row r="52" spans="1:4" x14ac:dyDescent="0.3">
      <c r="A52" s="2" t="s">
        <v>63</v>
      </c>
      <c r="B52" s="2" t="s">
        <v>12</v>
      </c>
      <c r="C52" s="6">
        <v>1.17</v>
      </c>
      <c r="D52" s="7">
        <f t="shared" si="0"/>
        <v>1602.08</v>
      </c>
    </row>
    <row r="53" spans="1:4" x14ac:dyDescent="0.3">
      <c r="A53" s="2" t="s">
        <v>64</v>
      </c>
      <c r="B53" s="2" t="s">
        <v>12</v>
      </c>
      <c r="C53" s="6">
        <v>1.61</v>
      </c>
      <c r="D53" s="7">
        <f t="shared" si="0"/>
        <v>1602.08</v>
      </c>
    </row>
    <row r="54" spans="1:4" x14ac:dyDescent="0.3">
      <c r="A54" s="2" t="s">
        <v>65</v>
      </c>
      <c r="B54" s="2" t="s">
        <v>14</v>
      </c>
      <c r="C54" s="6">
        <v>1.91</v>
      </c>
      <c r="D54" s="7">
        <f t="shared" si="0"/>
        <v>49023.97</v>
      </c>
    </row>
    <row r="55" spans="1:4" x14ac:dyDescent="0.3">
      <c r="A55" s="2" t="s">
        <v>66</v>
      </c>
      <c r="B55" s="2" t="s">
        <v>14</v>
      </c>
      <c r="C55" s="6">
        <v>1.25</v>
      </c>
      <c r="D55" s="7">
        <f t="shared" si="0"/>
        <v>32083.75</v>
      </c>
    </row>
    <row r="56" spans="1:4" x14ac:dyDescent="0.3">
      <c r="A56" s="2" t="s">
        <v>67</v>
      </c>
      <c r="B56" s="2" t="s">
        <v>12</v>
      </c>
      <c r="C56" s="6">
        <v>1.36</v>
      </c>
      <c r="D56" s="7">
        <f t="shared" si="0"/>
        <v>1602.08</v>
      </c>
    </row>
    <row r="57" spans="1:4" x14ac:dyDescent="0.3">
      <c r="A57" s="2" t="s">
        <v>68</v>
      </c>
      <c r="B57" s="2" t="s">
        <v>12</v>
      </c>
      <c r="C57" s="6">
        <v>1.9</v>
      </c>
      <c r="D57" s="7">
        <f t="shared" si="0"/>
        <v>1602.08</v>
      </c>
    </row>
    <row r="58" spans="1:4" x14ac:dyDescent="0.3">
      <c r="A58" s="2" t="s">
        <v>69</v>
      </c>
      <c r="B58" s="2" t="s">
        <v>14</v>
      </c>
      <c r="C58" s="6">
        <v>1.98</v>
      </c>
      <c r="D58" s="7">
        <f t="shared" si="0"/>
        <v>50820.659999999996</v>
      </c>
    </row>
    <row r="59" spans="1:4" x14ac:dyDescent="0.3">
      <c r="A59" s="2" t="s">
        <v>70</v>
      </c>
      <c r="B59" s="2" t="s">
        <v>14</v>
      </c>
      <c r="C59" s="6">
        <v>1.9</v>
      </c>
      <c r="D59" s="7">
        <f t="shared" si="0"/>
        <v>48767.299999999996</v>
      </c>
    </row>
    <row r="60" spans="1:4" x14ac:dyDescent="0.3">
      <c r="A60" s="2" t="s">
        <v>71</v>
      </c>
      <c r="B60" s="2" t="s">
        <v>12</v>
      </c>
      <c r="C60" s="6">
        <v>1.2</v>
      </c>
      <c r="D60" s="7">
        <f t="shared" si="0"/>
        <v>1602.08</v>
      </c>
    </row>
    <row r="61" spans="1:4" x14ac:dyDescent="0.3">
      <c r="A61" s="2" t="s">
        <v>72</v>
      </c>
      <c r="B61" s="2" t="s">
        <v>14</v>
      </c>
      <c r="C61" s="6">
        <v>1.84</v>
      </c>
      <c r="D61" s="7">
        <f t="shared" si="0"/>
        <v>47227.28</v>
      </c>
    </row>
    <row r="62" spans="1:4" x14ac:dyDescent="0.3">
      <c r="A62" s="2" t="s">
        <v>73</v>
      </c>
      <c r="B62" s="2" t="s">
        <v>12</v>
      </c>
      <c r="C62" s="6">
        <v>1.55</v>
      </c>
      <c r="D62" s="7">
        <f t="shared" si="0"/>
        <v>1602.08</v>
      </c>
    </row>
    <row r="63" spans="1:4" x14ac:dyDescent="0.3">
      <c r="A63" s="2" t="s">
        <v>74</v>
      </c>
      <c r="B63" s="2" t="s">
        <v>14</v>
      </c>
      <c r="C63" s="6">
        <v>1.1599999999999999</v>
      </c>
      <c r="D63" s="7">
        <f t="shared" si="0"/>
        <v>29773.719999999998</v>
      </c>
    </row>
    <row r="64" spans="1:4" x14ac:dyDescent="0.3">
      <c r="A64" s="2" t="s">
        <v>75</v>
      </c>
      <c r="B64" s="2" t="s">
        <v>14</v>
      </c>
      <c r="C64" s="6">
        <v>1.1100000000000001</v>
      </c>
      <c r="D64" s="7">
        <f t="shared" si="0"/>
        <v>28490.370000000003</v>
      </c>
    </row>
    <row r="65" spans="1:4" x14ac:dyDescent="0.3">
      <c r="A65" s="2" t="s">
        <v>76</v>
      </c>
      <c r="B65" s="2" t="s">
        <v>14</v>
      </c>
      <c r="C65" s="6">
        <v>1.9</v>
      </c>
      <c r="D65" s="7">
        <f t="shared" si="0"/>
        <v>48767.299999999996</v>
      </c>
    </row>
    <row r="66" spans="1:4" x14ac:dyDescent="0.3">
      <c r="A66" s="2" t="s">
        <v>77</v>
      </c>
      <c r="B66" s="2" t="s">
        <v>12</v>
      </c>
      <c r="C66" s="6">
        <v>1.31</v>
      </c>
      <c r="D66" s="7">
        <f t="shared" si="0"/>
        <v>1602.08</v>
      </c>
    </row>
    <row r="67" spans="1:4" x14ac:dyDescent="0.3">
      <c r="A67" s="2" t="s">
        <v>78</v>
      </c>
      <c r="B67" s="2" t="s">
        <v>12</v>
      </c>
      <c r="C67" s="6">
        <v>1.06</v>
      </c>
      <c r="D67" s="7">
        <f t="shared" ref="D67:D130" si="1">IF(B67=$G$2,C67*$H$2,$H$3)</f>
        <v>1602.08</v>
      </c>
    </row>
    <row r="68" spans="1:4" x14ac:dyDescent="0.3">
      <c r="A68" s="2" t="s">
        <v>79</v>
      </c>
      <c r="B68" s="2" t="s">
        <v>14</v>
      </c>
      <c r="C68" s="6">
        <v>1.1299999999999999</v>
      </c>
      <c r="D68" s="7">
        <f t="shared" si="1"/>
        <v>29003.709999999995</v>
      </c>
    </row>
    <row r="69" spans="1:4" x14ac:dyDescent="0.3">
      <c r="A69" s="2" t="s">
        <v>80</v>
      </c>
      <c r="B69" s="2" t="s">
        <v>14</v>
      </c>
      <c r="C69" s="6">
        <v>1.1399999999999999</v>
      </c>
      <c r="D69" s="7">
        <f t="shared" si="1"/>
        <v>29260.379999999997</v>
      </c>
    </row>
    <row r="70" spans="1:4" x14ac:dyDescent="0.3">
      <c r="A70" s="2" t="s">
        <v>81</v>
      </c>
      <c r="B70" s="2" t="s">
        <v>14</v>
      </c>
      <c r="C70" s="6">
        <v>1.83</v>
      </c>
      <c r="D70" s="7">
        <f t="shared" si="1"/>
        <v>46970.61</v>
      </c>
    </row>
    <row r="71" spans="1:4" x14ac:dyDescent="0.3">
      <c r="A71" s="2" t="s">
        <v>82</v>
      </c>
      <c r="B71" s="2" t="s">
        <v>12</v>
      </c>
      <c r="C71" s="6">
        <v>1.1299999999999999</v>
      </c>
      <c r="D71" s="7">
        <f t="shared" si="1"/>
        <v>1602.08</v>
      </c>
    </row>
    <row r="72" spans="1:4" x14ac:dyDescent="0.3">
      <c r="A72" s="2" t="s">
        <v>83</v>
      </c>
      <c r="B72" s="2" t="s">
        <v>12</v>
      </c>
      <c r="C72" s="6">
        <v>1.57</v>
      </c>
      <c r="D72" s="7">
        <f t="shared" si="1"/>
        <v>1602.08</v>
      </c>
    </row>
    <row r="73" spans="1:4" x14ac:dyDescent="0.3">
      <c r="A73" s="2" t="s">
        <v>84</v>
      </c>
      <c r="B73" s="2" t="s">
        <v>14</v>
      </c>
      <c r="C73" s="6">
        <v>1.31</v>
      </c>
      <c r="D73" s="7">
        <f t="shared" si="1"/>
        <v>33623.770000000004</v>
      </c>
    </row>
    <row r="74" spans="1:4" x14ac:dyDescent="0.3">
      <c r="A74" s="2" t="s">
        <v>85</v>
      </c>
      <c r="B74" s="2" t="s">
        <v>12</v>
      </c>
      <c r="C74" s="6">
        <v>1.1499999999999999</v>
      </c>
      <c r="D74" s="7">
        <f t="shared" si="1"/>
        <v>1602.08</v>
      </c>
    </row>
    <row r="75" spans="1:4" x14ac:dyDescent="0.3">
      <c r="A75" s="2" t="s">
        <v>86</v>
      </c>
      <c r="B75" s="2" t="s">
        <v>12</v>
      </c>
      <c r="C75" s="6">
        <v>1.89</v>
      </c>
      <c r="D75" s="7">
        <f t="shared" si="1"/>
        <v>1602.08</v>
      </c>
    </row>
    <row r="76" spans="1:4" x14ac:dyDescent="0.3">
      <c r="A76" s="2" t="s">
        <v>87</v>
      </c>
      <c r="B76" s="2" t="s">
        <v>12</v>
      </c>
      <c r="C76" s="6">
        <v>1.85</v>
      </c>
      <c r="D76" s="7">
        <f t="shared" si="1"/>
        <v>1602.08</v>
      </c>
    </row>
    <row r="77" spans="1:4" x14ac:dyDescent="0.3">
      <c r="A77" s="2" t="s">
        <v>88</v>
      </c>
      <c r="B77" s="2" t="s">
        <v>14</v>
      </c>
      <c r="C77" s="6">
        <v>1.61</v>
      </c>
      <c r="D77" s="7">
        <f t="shared" si="1"/>
        <v>41323.870000000003</v>
      </c>
    </row>
    <row r="78" spans="1:4" x14ac:dyDescent="0.3">
      <c r="A78" s="2" t="s">
        <v>89</v>
      </c>
      <c r="B78" s="2" t="s">
        <v>14</v>
      </c>
      <c r="C78" s="6">
        <v>1.23</v>
      </c>
      <c r="D78" s="7">
        <f t="shared" si="1"/>
        <v>31570.41</v>
      </c>
    </row>
    <row r="79" spans="1:4" x14ac:dyDescent="0.3">
      <c r="A79" s="2" t="s">
        <v>90</v>
      </c>
      <c r="B79" s="2" t="s">
        <v>14</v>
      </c>
      <c r="C79" s="6">
        <v>1.28</v>
      </c>
      <c r="D79" s="7">
        <f t="shared" si="1"/>
        <v>32853.760000000002</v>
      </c>
    </row>
    <row r="80" spans="1:4" x14ac:dyDescent="0.3">
      <c r="A80" s="2" t="s">
        <v>91</v>
      </c>
      <c r="B80" s="2" t="s">
        <v>12</v>
      </c>
      <c r="C80" s="6">
        <v>1.23</v>
      </c>
      <c r="D80" s="7">
        <f t="shared" si="1"/>
        <v>1602.08</v>
      </c>
    </row>
    <row r="81" spans="1:4" x14ac:dyDescent="0.3">
      <c r="A81" s="2" t="s">
        <v>92</v>
      </c>
      <c r="B81" s="2" t="s">
        <v>14</v>
      </c>
      <c r="C81" s="6">
        <v>1.8</v>
      </c>
      <c r="D81" s="7">
        <f t="shared" si="1"/>
        <v>46200.6</v>
      </c>
    </row>
    <row r="82" spans="1:4" x14ac:dyDescent="0.3">
      <c r="A82" s="2" t="s">
        <v>93</v>
      </c>
      <c r="B82" s="2" t="s">
        <v>12</v>
      </c>
      <c r="C82" s="6">
        <v>1.5</v>
      </c>
      <c r="D82" s="7">
        <f t="shared" si="1"/>
        <v>1602.08</v>
      </c>
    </row>
    <row r="83" spans="1:4" x14ac:dyDescent="0.3">
      <c r="A83" s="2" t="s">
        <v>94</v>
      </c>
      <c r="B83" s="2" t="s">
        <v>12</v>
      </c>
      <c r="C83" s="6">
        <v>1.44</v>
      </c>
      <c r="D83" s="7">
        <f t="shared" si="1"/>
        <v>1602.08</v>
      </c>
    </row>
    <row r="84" spans="1:4" x14ac:dyDescent="0.3">
      <c r="A84" s="2" t="s">
        <v>95</v>
      </c>
      <c r="B84" s="2" t="s">
        <v>12</v>
      </c>
      <c r="C84" s="6">
        <v>1.35</v>
      </c>
      <c r="D84" s="7">
        <f t="shared" si="1"/>
        <v>1602.08</v>
      </c>
    </row>
    <row r="85" spans="1:4" x14ac:dyDescent="0.3">
      <c r="A85" s="2" t="s">
        <v>96</v>
      </c>
      <c r="B85" s="2" t="s">
        <v>12</v>
      </c>
      <c r="C85" s="6">
        <v>1.61</v>
      </c>
      <c r="D85" s="7">
        <f t="shared" si="1"/>
        <v>1602.08</v>
      </c>
    </row>
    <row r="86" spans="1:4" x14ac:dyDescent="0.3">
      <c r="A86" s="2" t="s">
        <v>97</v>
      </c>
      <c r="B86" s="2" t="s">
        <v>14</v>
      </c>
      <c r="C86" s="6">
        <v>1.87</v>
      </c>
      <c r="D86" s="7">
        <f t="shared" si="1"/>
        <v>47997.29</v>
      </c>
    </row>
    <row r="87" spans="1:4" x14ac:dyDescent="0.3">
      <c r="A87" s="2" t="s">
        <v>98</v>
      </c>
      <c r="B87" s="2" t="s">
        <v>12</v>
      </c>
      <c r="C87" s="6">
        <v>1.05</v>
      </c>
      <c r="D87" s="7">
        <f t="shared" si="1"/>
        <v>1602.08</v>
      </c>
    </row>
    <row r="88" spans="1:4" x14ac:dyDescent="0.3">
      <c r="A88" s="2" t="s">
        <v>99</v>
      </c>
      <c r="B88" s="2" t="s">
        <v>14</v>
      </c>
      <c r="C88" s="6">
        <v>1.38</v>
      </c>
      <c r="D88" s="7">
        <f t="shared" si="1"/>
        <v>35420.46</v>
      </c>
    </row>
    <row r="89" spans="1:4" x14ac:dyDescent="0.3">
      <c r="A89" s="2" t="s">
        <v>100</v>
      </c>
      <c r="B89" s="2" t="s">
        <v>12</v>
      </c>
      <c r="C89" s="6">
        <v>1.04</v>
      </c>
      <c r="D89" s="7">
        <f t="shared" si="1"/>
        <v>1602.08</v>
      </c>
    </row>
    <row r="90" spans="1:4" x14ac:dyDescent="0.3">
      <c r="A90" s="2" t="s">
        <v>101</v>
      </c>
      <c r="B90" s="2" t="s">
        <v>14</v>
      </c>
      <c r="C90" s="6">
        <v>1.27</v>
      </c>
      <c r="D90" s="7">
        <f t="shared" si="1"/>
        <v>32597.09</v>
      </c>
    </row>
    <row r="91" spans="1:4" x14ac:dyDescent="0.3">
      <c r="A91" s="2" t="s">
        <v>102</v>
      </c>
      <c r="B91" s="2" t="s">
        <v>14</v>
      </c>
      <c r="C91" s="6">
        <v>1.17</v>
      </c>
      <c r="D91" s="7">
        <f t="shared" si="1"/>
        <v>30030.39</v>
      </c>
    </row>
    <row r="92" spans="1:4" x14ac:dyDescent="0.3">
      <c r="A92" s="2" t="s">
        <v>103</v>
      </c>
      <c r="B92" s="2" t="s">
        <v>14</v>
      </c>
      <c r="C92" s="6">
        <v>1.89</v>
      </c>
      <c r="D92" s="7">
        <f t="shared" si="1"/>
        <v>48510.63</v>
      </c>
    </row>
    <row r="93" spans="1:4" x14ac:dyDescent="0.3">
      <c r="A93" s="2" t="s">
        <v>104</v>
      </c>
      <c r="B93" s="2" t="s">
        <v>12</v>
      </c>
      <c r="C93" s="6">
        <v>1.1200000000000001</v>
      </c>
      <c r="D93" s="7">
        <f t="shared" si="1"/>
        <v>1602.08</v>
      </c>
    </row>
    <row r="94" spans="1:4" x14ac:dyDescent="0.3">
      <c r="A94" s="2" t="s">
        <v>105</v>
      </c>
      <c r="B94" s="2" t="s">
        <v>14</v>
      </c>
      <c r="C94" s="6">
        <v>1.44</v>
      </c>
      <c r="D94" s="7">
        <f t="shared" si="1"/>
        <v>36960.479999999996</v>
      </c>
    </row>
    <row r="95" spans="1:4" x14ac:dyDescent="0.3">
      <c r="A95" s="2" t="s">
        <v>106</v>
      </c>
      <c r="B95" s="2" t="s">
        <v>14</v>
      </c>
      <c r="C95" s="6">
        <v>1.31</v>
      </c>
      <c r="D95" s="7">
        <f t="shared" si="1"/>
        <v>33623.770000000004</v>
      </c>
    </row>
    <row r="96" spans="1:4" x14ac:dyDescent="0.3">
      <c r="A96" s="2" t="s">
        <v>107</v>
      </c>
      <c r="B96" s="2" t="s">
        <v>14</v>
      </c>
      <c r="C96" s="6">
        <v>1.94</v>
      </c>
      <c r="D96" s="7">
        <f t="shared" si="1"/>
        <v>49793.979999999996</v>
      </c>
    </row>
    <row r="97" spans="1:4" x14ac:dyDescent="0.3">
      <c r="A97" s="2" t="s">
        <v>108</v>
      </c>
      <c r="B97" s="2" t="s">
        <v>12</v>
      </c>
      <c r="C97" s="6">
        <v>1.99</v>
      </c>
      <c r="D97" s="7">
        <f t="shared" si="1"/>
        <v>1602.08</v>
      </c>
    </row>
    <row r="98" spans="1:4" x14ac:dyDescent="0.3">
      <c r="A98" s="2" t="s">
        <v>109</v>
      </c>
      <c r="B98" s="2" t="s">
        <v>14</v>
      </c>
      <c r="C98" s="6">
        <v>1.01</v>
      </c>
      <c r="D98" s="7">
        <f t="shared" si="1"/>
        <v>25923.670000000002</v>
      </c>
    </row>
    <row r="99" spans="1:4" x14ac:dyDescent="0.3">
      <c r="A99" s="2" t="s">
        <v>110</v>
      </c>
      <c r="B99" s="2" t="s">
        <v>14</v>
      </c>
      <c r="C99" s="6">
        <v>1.33</v>
      </c>
      <c r="D99" s="7">
        <f t="shared" si="1"/>
        <v>34137.11</v>
      </c>
    </row>
    <row r="100" spans="1:4" x14ac:dyDescent="0.3">
      <c r="A100" s="2" t="s">
        <v>111</v>
      </c>
      <c r="B100" s="2" t="s">
        <v>14</v>
      </c>
      <c r="C100" s="6">
        <v>1.1599999999999999</v>
      </c>
      <c r="D100" s="7">
        <f t="shared" si="1"/>
        <v>29773.719999999998</v>
      </c>
    </row>
    <row r="101" spans="1:4" x14ac:dyDescent="0.3">
      <c r="A101" s="2" t="s">
        <v>112</v>
      </c>
      <c r="B101" s="2" t="s">
        <v>12</v>
      </c>
      <c r="C101" s="6">
        <v>1.76</v>
      </c>
      <c r="D101" s="7">
        <f t="shared" si="1"/>
        <v>1602.08</v>
      </c>
    </row>
    <row r="102" spans="1:4" x14ac:dyDescent="0.3">
      <c r="A102" s="2" t="s">
        <v>113</v>
      </c>
      <c r="B102" s="2" t="s">
        <v>14</v>
      </c>
      <c r="C102" s="6">
        <v>1.5</v>
      </c>
      <c r="D102" s="7">
        <f t="shared" si="1"/>
        <v>38500.5</v>
      </c>
    </row>
    <row r="103" spans="1:4" x14ac:dyDescent="0.3">
      <c r="A103" s="2" t="s">
        <v>114</v>
      </c>
      <c r="B103" s="2" t="s">
        <v>14</v>
      </c>
      <c r="C103" s="6">
        <v>1.07</v>
      </c>
      <c r="D103" s="7">
        <f t="shared" si="1"/>
        <v>27463.690000000002</v>
      </c>
    </row>
    <row r="104" spans="1:4" x14ac:dyDescent="0.3">
      <c r="A104" s="2" t="s">
        <v>115</v>
      </c>
      <c r="B104" s="2" t="s">
        <v>14</v>
      </c>
      <c r="C104" s="6">
        <v>1.31</v>
      </c>
      <c r="D104" s="7">
        <f t="shared" si="1"/>
        <v>33623.770000000004</v>
      </c>
    </row>
    <row r="105" spans="1:4" x14ac:dyDescent="0.3">
      <c r="A105" s="2" t="s">
        <v>116</v>
      </c>
      <c r="B105" s="2" t="s">
        <v>12</v>
      </c>
      <c r="C105" s="6">
        <v>1.72</v>
      </c>
      <c r="D105" s="7">
        <f t="shared" si="1"/>
        <v>1602.08</v>
      </c>
    </row>
    <row r="106" spans="1:4" x14ac:dyDescent="0.3">
      <c r="A106" s="2" t="s">
        <v>117</v>
      </c>
      <c r="B106" s="2" t="s">
        <v>14</v>
      </c>
      <c r="C106" s="6">
        <v>1.49</v>
      </c>
      <c r="D106" s="7">
        <f t="shared" si="1"/>
        <v>38243.83</v>
      </c>
    </row>
    <row r="107" spans="1:4" x14ac:dyDescent="0.3">
      <c r="A107" s="2" t="s">
        <v>118</v>
      </c>
      <c r="B107" s="2" t="s">
        <v>14</v>
      </c>
      <c r="C107" s="6">
        <v>1.59</v>
      </c>
      <c r="D107" s="7">
        <f t="shared" si="1"/>
        <v>40810.53</v>
      </c>
    </row>
    <row r="108" spans="1:4" x14ac:dyDescent="0.3">
      <c r="A108" s="2" t="s">
        <v>119</v>
      </c>
      <c r="B108" s="2" t="s">
        <v>14</v>
      </c>
      <c r="C108" s="6">
        <v>1.1399999999999999</v>
      </c>
      <c r="D108" s="7">
        <f t="shared" si="1"/>
        <v>29260.379999999997</v>
      </c>
    </row>
    <row r="109" spans="1:4" x14ac:dyDescent="0.3">
      <c r="A109" s="2" t="s">
        <v>120</v>
      </c>
      <c r="B109" s="2" t="s">
        <v>12</v>
      </c>
      <c r="C109" s="6">
        <v>1.64</v>
      </c>
      <c r="D109" s="7">
        <f t="shared" si="1"/>
        <v>1602.08</v>
      </c>
    </row>
    <row r="110" spans="1:4" x14ac:dyDescent="0.3">
      <c r="A110" s="2" t="s">
        <v>121</v>
      </c>
      <c r="B110" s="2" t="s">
        <v>14</v>
      </c>
      <c r="C110" s="6">
        <v>1.71</v>
      </c>
      <c r="D110" s="7">
        <f t="shared" si="1"/>
        <v>43890.57</v>
      </c>
    </row>
    <row r="111" spans="1:4" x14ac:dyDescent="0.3">
      <c r="A111" s="2" t="s">
        <v>122</v>
      </c>
      <c r="B111" s="2" t="s">
        <v>14</v>
      </c>
      <c r="C111" s="6">
        <v>1.07</v>
      </c>
      <c r="D111" s="7">
        <f t="shared" si="1"/>
        <v>27463.690000000002</v>
      </c>
    </row>
    <row r="112" spans="1:4" x14ac:dyDescent="0.3">
      <c r="A112" s="2" t="s">
        <v>123</v>
      </c>
      <c r="B112" s="2" t="s">
        <v>14</v>
      </c>
      <c r="C112" s="6">
        <v>1.96</v>
      </c>
      <c r="D112" s="7">
        <f t="shared" si="1"/>
        <v>50307.32</v>
      </c>
    </row>
    <row r="113" spans="1:4" x14ac:dyDescent="0.3">
      <c r="A113" s="2" t="s">
        <v>124</v>
      </c>
      <c r="B113" s="2" t="s">
        <v>14</v>
      </c>
      <c r="C113" s="6">
        <v>1.35</v>
      </c>
      <c r="D113" s="7">
        <f t="shared" si="1"/>
        <v>34650.450000000004</v>
      </c>
    </row>
    <row r="114" spans="1:4" x14ac:dyDescent="0.3">
      <c r="A114" s="2" t="s">
        <v>125</v>
      </c>
      <c r="B114" s="2" t="s">
        <v>12</v>
      </c>
      <c r="C114" s="6">
        <v>1.95</v>
      </c>
      <c r="D114" s="7">
        <f t="shared" si="1"/>
        <v>1602.08</v>
      </c>
    </row>
    <row r="115" spans="1:4" x14ac:dyDescent="0.3">
      <c r="A115" s="2" t="s">
        <v>126</v>
      </c>
      <c r="B115" s="2" t="s">
        <v>12</v>
      </c>
      <c r="C115" s="6">
        <v>1.25</v>
      </c>
      <c r="D115" s="7">
        <f t="shared" si="1"/>
        <v>1602.08</v>
      </c>
    </row>
    <row r="116" spans="1:4" x14ac:dyDescent="0.3">
      <c r="A116" s="2" t="s">
        <v>127</v>
      </c>
      <c r="B116" s="2" t="s">
        <v>12</v>
      </c>
      <c r="C116" s="6">
        <v>1.58</v>
      </c>
      <c r="D116" s="7">
        <f t="shared" si="1"/>
        <v>1602.08</v>
      </c>
    </row>
    <row r="117" spans="1:4" x14ac:dyDescent="0.3">
      <c r="A117" s="2" t="s">
        <v>128</v>
      </c>
      <c r="B117" s="2" t="s">
        <v>12</v>
      </c>
      <c r="C117" s="6">
        <v>1.56</v>
      </c>
      <c r="D117" s="7">
        <f t="shared" si="1"/>
        <v>1602.08</v>
      </c>
    </row>
    <row r="118" spans="1:4" x14ac:dyDescent="0.3">
      <c r="A118" s="2" t="s">
        <v>129</v>
      </c>
      <c r="B118" s="2" t="s">
        <v>12</v>
      </c>
      <c r="C118" s="6">
        <v>1.1299999999999999</v>
      </c>
      <c r="D118" s="7">
        <f t="shared" si="1"/>
        <v>1602.08</v>
      </c>
    </row>
    <row r="119" spans="1:4" x14ac:dyDescent="0.3">
      <c r="A119" s="2" t="s">
        <v>130</v>
      </c>
      <c r="B119" s="2" t="s">
        <v>14</v>
      </c>
      <c r="C119" s="6">
        <v>1.88</v>
      </c>
      <c r="D119" s="7">
        <f t="shared" si="1"/>
        <v>48253.96</v>
      </c>
    </row>
    <row r="120" spans="1:4" x14ac:dyDescent="0.3">
      <c r="A120" s="2" t="s">
        <v>131</v>
      </c>
      <c r="B120" s="2" t="s">
        <v>14</v>
      </c>
      <c r="C120" s="6">
        <v>1.58</v>
      </c>
      <c r="D120" s="7">
        <f t="shared" si="1"/>
        <v>40553.86</v>
      </c>
    </row>
    <row r="121" spans="1:4" x14ac:dyDescent="0.3">
      <c r="A121" s="2" t="s">
        <v>132</v>
      </c>
      <c r="B121" s="2" t="s">
        <v>14</v>
      </c>
      <c r="C121" s="6">
        <v>1.75</v>
      </c>
      <c r="D121" s="7">
        <f t="shared" si="1"/>
        <v>44917.25</v>
      </c>
    </row>
    <row r="122" spans="1:4" x14ac:dyDescent="0.3">
      <c r="A122" s="2" t="s">
        <v>133</v>
      </c>
      <c r="B122" s="2" t="s">
        <v>12</v>
      </c>
      <c r="C122" s="6">
        <v>1.4</v>
      </c>
      <c r="D122" s="7">
        <f t="shared" si="1"/>
        <v>1602.08</v>
      </c>
    </row>
    <row r="123" spans="1:4" x14ac:dyDescent="0.3">
      <c r="A123" s="2" t="s">
        <v>134</v>
      </c>
      <c r="B123" s="2" t="s">
        <v>14</v>
      </c>
      <c r="C123" s="6">
        <v>1.77</v>
      </c>
      <c r="D123" s="7">
        <f t="shared" si="1"/>
        <v>45430.590000000004</v>
      </c>
    </row>
    <row r="124" spans="1:4" x14ac:dyDescent="0.3">
      <c r="A124" s="2" t="s">
        <v>135</v>
      </c>
      <c r="B124" s="2" t="s">
        <v>12</v>
      </c>
      <c r="C124" s="6">
        <v>1.48</v>
      </c>
      <c r="D124" s="7">
        <f t="shared" si="1"/>
        <v>1602.08</v>
      </c>
    </row>
    <row r="125" spans="1:4" x14ac:dyDescent="0.3">
      <c r="A125" s="2" t="s">
        <v>136</v>
      </c>
      <c r="B125" s="2" t="s">
        <v>14</v>
      </c>
      <c r="C125" s="6">
        <v>1.34</v>
      </c>
      <c r="D125" s="7">
        <f t="shared" si="1"/>
        <v>34393.78</v>
      </c>
    </row>
    <row r="126" spans="1:4" x14ac:dyDescent="0.3">
      <c r="A126" s="2" t="s">
        <v>137</v>
      </c>
      <c r="B126" s="2" t="s">
        <v>12</v>
      </c>
      <c r="C126" s="6">
        <v>1.1100000000000001</v>
      </c>
      <c r="D126" s="7">
        <f t="shared" si="1"/>
        <v>1602.08</v>
      </c>
    </row>
    <row r="127" spans="1:4" x14ac:dyDescent="0.3">
      <c r="A127" s="2" t="s">
        <v>138</v>
      </c>
      <c r="B127" s="2" t="s">
        <v>14</v>
      </c>
      <c r="C127" s="6">
        <v>1.74</v>
      </c>
      <c r="D127" s="7">
        <f t="shared" si="1"/>
        <v>44660.58</v>
      </c>
    </row>
    <row r="128" spans="1:4" x14ac:dyDescent="0.3">
      <c r="A128" s="2" t="s">
        <v>139</v>
      </c>
      <c r="B128" s="2" t="s">
        <v>12</v>
      </c>
      <c r="C128" s="6">
        <v>1.69</v>
      </c>
      <c r="D128" s="7">
        <f t="shared" si="1"/>
        <v>1602.08</v>
      </c>
    </row>
    <row r="129" spans="1:4" x14ac:dyDescent="0.3">
      <c r="A129" s="2" t="s">
        <v>140</v>
      </c>
      <c r="B129" s="2" t="s">
        <v>14</v>
      </c>
      <c r="C129" s="6">
        <v>1.9</v>
      </c>
      <c r="D129" s="7">
        <f t="shared" si="1"/>
        <v>48767.299999999996</v>
      </c>
    </row>
    <row r="130" spans="1:4" x14ac:dyDescent="0.3">
      <c r="A130" s="2" t="s">
        <v>141</v>
      </c>
      <c r="B130" s="2" t="s">
        <v>12</v>
      </c>
      <c r="C130" s="6">
        <v>2</v>
      </c>
      <c r="D130" s="7">
        <f t="shared" si="1"/>
        <v>1602.08</v>
      </c>
    </row>
    <row r="131" spans="1:4" x14ac:dyDescent="0.3">
      <c r="A131" s="2" t="s">
        <v>142</v>
      </c>
      <c r="B131" s="2" t="s">
        <v>12</v>
      </c>
      <c r="C131" s="6">
        <v>1.93</v>
      </c>
      <c r="D131" s="7">
        <f t="shared" ref="D131:D194" si="2">IF(B131=$G$2,C131*$H$2,$H$3)</f>
        <v>1602.08</v>
      </c>
    </row>
    <row r="132" spans="1:4" x14ac:dyDescent="0.3">
      <c r="A132" s="2" t="s">
        <v>143</v>
      </c>
      <c r="B132" s="2" t="s">
        <v>12</v>
      </c>
      <c r="C132" s="6">
        <v>1.44</v>
      </c>
      <c r="D132" s="7">
        <f t="shared" si="2"/>
        <v>1602.08</v>
      </c>
    </row>
    <row r="133" spans="1:4" x14ac:dyDescent="0.3">
      <c r="A133" s="2" t="s">
        <v>144</v>
      </c>
      <c r="B133" s="2" t="s">
        <v>14</v>
      </c>
      <c r="C133" s="6">
        <v>1.72</v>
      </c>
      <c r="D133" s="7">
        <f t="shared" si="2"/>
        <v>44147.24</v>
      </c>
    </row>
    <row r="134" spans="1:4" x14ac:dyDescent="0.3">
      <c r="A134" s="2" t="s">
        <v>145</v>
      </c>
      <c r="B134" s="2" t="s">
        <v>14</v>
      </c>
      <c r="C134" s="6">
        <v>1.43</v>
      </c>
      <c r="D134" s="7">
        <f t="shared" si="2"/>
        <v>36703.81</v>
      </c>
    </row>
    <row r="135" spans="1:4" x14ac:dyDescent="0.3">
      <c r="A135" s="2" t="s">
        <v>146</v>
      </c>
      <c r="B135" s="2" t="s">
        <v>12</v>
      </c>
      <c r="C135" s="6">
        <v>1.66</v>
      </c>
      <c r="D135" s="7">
        <f t="shared" si="2"/>
        <v>1602.08</v>
      </c>
    </row>
    <row r="136" spans="1:4" x14ac:dyDescent="0.3">
      <c r="A136" s="2" t="s">
        <v>147</v>
      </c>
      <c r="B136" s="2" t="s">
        <v>14</v>
      </c>
      <c r="C136" s="6">
        <v>1.99</v>
      </c>
      <c r="D136" s="7">
        <f t="shared" si="2"/>
        <v>51077.33</v>
      </c>
    </row>
    <row r="137" spans="1:4" x14ac:dyDescent="0.3">
      <c r="A137" s="2" t="s">
        <v>148</v>
      </c>
      <c r="B137" s="2" t="s">
        <v>14</v>
      </c>
      <c r="C137" s="6">
        <v>1.85</v>
      </c>
      <c r="D137" s="7">
        <f t="shared" si="2"/>
        <v>47483.950000000004</v>
      </c>
    </row>
    <row r="138" spans="1:4" x14ac:dyDescent="0.3">
      <c r="A138" s="2" t="s">
        <v>149</v>
      </c>
      <c r="B138" s="2" t="s">
        <v>14</v>
      </c>
      <c r="C138" s="6">
        <v>1.62</v>
      </c>
      <c r="D138" s="7">
        <f t="shared" si="2"/>
        <v>41580.54</v>
      </c>
    </row>
    <row r="139" spans="1:4" x14ac:dyDescent="0.3">
      <c r="A139" s="2" t="s">
        <v>150</v>
      </c>
      <c r="B139" s="2" t="s">
        <v>14</v>
      </c>
      <c r="C139" s="6">
        <v>1.81</v>
      </c>
      <c r="D139" s="7">
        <f t="shared" si="2"/>
        <v>46457.270000000004</v>
      </c>
    </row>
    <row r="140" spans="1:4" x14ac:dyDescent="0.3">
      <c r="A140" s="2" t="s">
        <v>151</v>
      </c>
      <c r="B140" s="2" t="s">
        <v>12</v>
      </c>
      <c r="C140" s="6">
        <v>1.61</v>
      </c>
      <c r="D140" s="7">
        <f t="shared" si="2"/>
        <v>1602.08</v>
      </c>
    </row>
    <row r="141" spans="1:4" x14ac:dyDescent="0.3">
      <c r="A141" s="2" t="s">
        <v>152</v>
      </c>
      <c r="B141" s="2" t="s">
        <v>14</v>
      </c>
      <c r="C141" s="6">
        <v>1.49</v>
      </c>
      <c r="D141" s="7">
        <f t="shared" si="2"/>
        <v>38243.83</v>
      </c>
    </row>
    <row r="142" spans="1:4" x14ac:dyDescent="0.3">
      <c r="A142" s="2" t="s">
        <v>153</v>
      </c>
      <c r="B142" s="2" t="s">
        <v>12</v>
      </c>
      <c r="C142" s="6">
        <v>1.27</v>
      </c>
      <c r="D142" s="7">
        <f t="shared" si="2"/>
        <v>1602.08</v>
      </c>
    </row>
    <row r="143" spans="1:4" x14ac:dyDescent="0.3">
      <c r="A143" s="2" t="s">
        <v>154</v>
      </c>
      <c r="B143" s="2" t="s">
        <v>12</v>
      </c>
      <c r="C143" s="6">
        <v>1.4</v>
      </c>
      <c r="D143" s="7">
        <f t="shared" si="2"/>
        <v>1602.08</v>
      </c>
    </row>
    <row r="144" spans="1:4" x14ac:dyDescent="0.3">
      <c r="A144" s="2" t="s">
        <v>155</v>
      </c>
      <c r="B144" s="2" t="s">
        <v>12</v>
      </c>
      <c r="C144" s="6">
        <v>1.35</v>
      </c>
      <c r="D144" s="7">
        <f t="shared" si="2"/>
        <v>1602.08</v>
      </c>
    </row>
    <row r="145" spans="1:4" x14ac:dyDescent="0.3">
      <c r="A145" s="2" t="s">
        <v>156</v>
      </c>
      <c r="B145" s="2" t="s">
        <v>12</v>
      </c>
      <c r="C145" s="6">
        <v>1.78</v>
      </c>
      <c r="D145" s="7">
        <f t="shared" si="2"/>
        <v>1602.08</v>
      </c>
    </row>
    <row r="146" spans="1:4" x14ac:dyDescent="0.3">
      <c r="A146" s="2" t="s">
        <v>157</v>
      </c>
      <c r="B146" s="2" t="s">
        <v>12</v>
      </c>
      <c r="C146" s="6">
        <v>1.98</v>
      </c>
      <c r="D146" s="7">
        <f t="shared" si="2"/>
        <v>1602.08</v>
      </c>
    </row>
    <row r="147" spans="1:4" x14ac:dyDescent="0.3">
      <c r="A147" s="2" t="s">
        <v>158</v>
      </c>
      <c r="B147" s="2" t="s">
        <v>12</v>
      </c>
      <c r="C147" s="6">
        <v>1.26</v>
      </c>
      <c r="D147" s="7">
        <f t="shared" si="2"/>
        <v>1602.08</v>
      </c>
    </row>
    <row r="148" spans="1:4" x14ac:dyDescent="0.3">
      <c r="A148" s="2" t="s">
        <v>159</v>
      </c>
      <c r="B148" s="2" t="s">
        <v>14</v>
      </c>
      <c r="C148" s="6">
        <v>1.74</v>
      </c>
      <c r="D148" s="7">
        <f t="shared" si="2"/>
        <v>44660.58</v>
      </c>
    </row>
    <row r="149" spans="1:4" x14ac:dyDescent="0.3">
      <c r="A149" s="2" t="s">
        <v>160</v>
      </c>
      <c r="B149" s="2" t="s">
        <v>12</v>
      </c>
      <c r="C149" s="6">
        <v>1.8</v>
      </c>
      <c r="D149" s="7">
        <f t="shared" si="2"/>
        <v>1602.08</v>
      </c>
    </row>
    <row r="150" spans="1:4" x14ac:dyDescent="0.3">
      <c r="A150" s="2" t="s">
        <v>161</v>
      </c>
      <c r="B150" s="2" t="s">
        <v>12</v>
      </c>
      <c r="C150" s="6">
        <v>1.6</v>
      </c>
      <c r="D150" s="7">
        <f t="shared" si="2"/>
        <v>1602.08</v>
      </c>
    </row>
    <row r="151" spans="1:4" x14ac:dyDescent="0.3">
      <c r="A151" s="2" t="s">
        <v>162</v>
      </c>
      <c r="B151" s="2" t="s">
        <v>14</v>
      </c>
      <c r="C151" s="6">
        <v>1.94</v>
      </c>
      <c r="D151" s="7">
        <f t="shared" si="2"/>
        <v>49793.979999999996</v>
      </c>
    </row>
    <row r="152" spans="1:4" x14ac:dyDescent="0.3">
      <c r="A152" s="2" t="s">
        <v>163</v>
      </c>
      <c r="B152" s="2" t="s">
        <v>14</v>
      </c>
      <c r="C152" s="6">
        <v>1.23</v>
      </c>
      <c r="D152" s="7">
        <f t="shared" si="2"/>
        <v>31570.41</v>
      </c>
    </row>
    <row r="153" spans="1:4" x14ac:dyDescent="0.3">
      <c r="A153" s="2" t="s">
        <v>164</v>
      </c>
      <c r="B153" s="2" t="s">
        <v>14</v>
      </c>
      <c r="C153" s="6">
        <v>1.45</v>
      </c>
      <c r="D153" s="7">
        <f t="shared" si="2"/>
        <v>37217.15</v>
      </c>
    </row>
    <row r="154" spans="1:4" x14ac:dyDescent="0.3">
      <c r="A154" s="2" t="s">
        <v>165</v>
      </c>
      <c r="B154" s="2" t="s">
        <v>12</v>
      </c>
      <c r="C154" s="6">
        <v>1.34</v>
      </c>
      <c r="D154" s="7">
        <f t="shared" si="2"/>
        <v>1602.08</v>
      </c>
    </row>
    <row r="155" spans="1:4" x14ac:dyDescent="0.3">
      <c r="A155" s="2" t="s">
        <v>166</v>
      </c>
      <c r="B155" s="2" t="s">
        <v>14</v>
      </c>
      <c r="C155" s="6">
        <v>1.39</v>
      </c>
      <c r="D155" s="7">
        <f t="shared" si="2"/>
        <v>35677.129999999997</v>
      </c>
    </row>
    <row r="156" spans="1:4" x14ac:dyDescent="0.3">
      <c r="A156" s="2" t="s">
        <v>167</v>
      </c>
      <c r="B156" s="2" t="s">
        <v>12</v>
      </c>
      <c r="C156" s="6">
        <v>1.76</v>
      </c>
      <c r="D156" s="7">
        <f t="shared" si="2"/>
        <v>1602.08</v>
      </c>
    </row>
    <row r="157" spans="1:4" x14ac:dyDescent="0.3">
      <c r="A157" s="2" t="s">
        <v>168</v>
      </c>
      <c r="B157" s="2" t="s">
        <v>14</v>
      </c>
      <c r="C157" s="6">
        <v>1.32</v>
      </c>
      <c r="D157" s="7">
        <f t="shared" si="2"/>
        <v>33880.44</v>
      </c>
    </row>
    <row r="158" spans="1:4" x14ac:dyDescent="0.3">
      <c r="A158" s="2" t="s">
        <v>169</v>
      </c>
      <c r="B158" s="2" t="s">
        <v>12</v>
      </c>
      <c r="C158" s="6">
        <v>1.05</v>
      </c>
      <c r="D158" s="7">
        <f t="shared" si="2"/>
        <v>1602.08</v>
      </c>
    </row>
    <row r="159" spans="1:4" x14ac:dyDescent="0.3">
      <c r="A159" s="2" t="s">
        <v>170</v>
      </c>
      <c r="B159" s="2" t="s">
        <v>12</v>
      </c>
      <c r="C159" s="6">
        <v>1.04</v>
      </c>
      <c r="D159" s="7">
        <f t="shared" si="2"/>
        <v>1602.08</v>
      </c>
    </row>
    <row r="160" spans="1:4" x14ac:dyDescent="0.3">
      <c r="A160" s="2" t="s">
        <v>171</v>
      </c>
      <c r="B160" s="2" t="s">
        <v>12</v>
      </c>
      <c r="C160" s="6">
        <v>1.63</v>
      </c>
      <c r="D160" s="7">
        <f t="shared" si="2"/>
        <v>1602.08</v>
      </c>
    </row>
    <row r="161" spans="1:4" x14ac:dyDescent="0.3">
      <c r="A161" s="2" t="s">
        <v>172</v>
      </c>
      <c r="B161" s="2" t="s">
        <v>12</v>
      </c>
      <c r="C161" s="6">
        <v>1.98</v>
      </c>
      <c r="D161" s="7">
        <f t="shared" si="2"/>
        <v>1602.08</v>
      </c>
    </row>
    <row r="162" spans="1:4" x14ac:dyDescent="0.3">
      <c r="A162" s="2" t="s">
        <v>173</v>
      </c>
      <c r="B162" s="2" t="s">
        <v>14</v>
      </c>
      <c r="C162" s="6">
        <v>1.04</v>
      </c>
      <c r="D162" s="7">
        <f t="shared" si="2"/>
        <v>26693.68</v>
      </c>
    </row>
    <row r="163" spans="1:4" x14ac:dyDescent="0.3">
      <c r="A163" s="2" t="s">
        <v>174</v>
      </c>
      <c r="B163" s="2" t="s">
        <v>12</v>
      </c>
      <c r="C163" s="6">
        <v>1.66</v>
      </c>
      <c r="D163" s="7">
        <f t="shared" si="2"/>
        <v>1602.08</v>
      </c>
    </row>
    <row r="164" spans="1:4" x14ac:dyDescent="0.3">
      <c r="A164" s="2" t="s">
        <v>175</v>
      </c>
      <c r="B164" s="2" t="s">
        <v>14</v>
      </c>
      <c r="C164" s="6">
        <v>1.47</v>
      </c>
      <c r="D164" s="7">
        <f t="shared" si="2"/>
        <v>37730.49</v>
      </c>
    </row>
    <row r="165" spans="1:4" x14ac:dyDescent="0.3">
      <c r="A165" s="2" t="s">
        <v>176</v>
      </c>
      <c r="B165" s="2" t="s">
        <v>14</v>
      </c>
      <c r="C165" s="6">
        <v>1.22</v>
      </c>
      <c r="D165" s="7">
        <f t="shared" si="2"/>
        <v>31313.739999999998</v>
      </c>
    </row>
    <row r="166" spans="1:4" x14ac:dyDescent="0.3">
      <c r="A166" s="2" t="s">
        <v>177</v>
      </c>
      <c r="B166" s="2" t="s">
        <v>14</v>
      </c>
      <c r="C166" s="6">
        <v>1.89</v>
      </c>
      <c r="D166" s="7">
        <f t="shared" si="2"/>
        <v>48510.63</v>
      </c>
    </row>
    <row r="167" spans="1:4" x14ac:dyDescent="0.3">
      <c r="A167" s="2" t="s">
        <v>178</v>
      </c>
      <c r="B167" s="2" t="s">
        <v>14</v>
      </c>
      <c r="C167" s="6">
        <v>1.94</v>
      </c>
      <c r="D167" s="7">
        <f t="shared" si="2"/>
        <v>49793.979999999996</v>
      </c>
    </row>
    <row r="168" spans="1:4" x14ac:dyDescent="0.3">
      <c r="A168" s="2" t="s">
        <v>179</v>
      </c>
      <c r="B168" s="2" t="s">
        <v>12</v>
      </c>
      <c r="C168" s="6">
        <v>1.53</v>
      </c>
      <c r="D168" s="7">
        <f t="shared" si="2"/>
        <v>1602.08</v>
      </c>
    </row>
    <row r="169" spans="1:4" x14ac:dyDescent="0.3">
      <c r="A169" s="2" t="s">
        <v>180</v>
      </c>
      <c r="B169" s="2" t="s">
        <v>14</v>
      </c>
      <c r="C169" s="6">
        <v>1.5</v>
      </c>
      <c r="D169" s="7">
        <f t="shared" si="2"/>
        <v>38500.5</v>
      </c>
    </row>
    <row r="170" spans="1:4" x14ac:dyDescent="0.3">
      <c r="A170" s="2" t="s">
        <v>181</v>
      </c>
      <c r="B170" s="2" t="s">
        <v>12</v>
      </c>
      <c r="C170" s="6">
        <v>1.61</v>
      </c>
      <c r="D170" s="7">
        <f t="shared" si="2"/>
        <v>1602.08</v>
      </c>
    </row>
    <row r="171" spans="1:4" x14ac:dyDescent="0.3">
      <c r="A171" s="2" t="s">
        <v>182</v>
      </c>
      <c r="B171" s="2" t="s">
        <v>14</v>
      </c>
      <c r="C171" s="6">
        <v>1.45</v>
      </c>
      <c r="D171" s="7">
        <f t="shared" si="2"/>
        <v>37217.15</v>
      </c>
    </row>
    <row r="172" spans="1:4" x14ac:dyDescent="0.3">
      <c r="A172" s="2" t="s">
        <v>183</v>
      </c>
      <c r="B172" s="2" t="s">
        <v>12</v>
      </c>
      <c r="C172" s="6">
        <v>1.19</v>
      </c>
      <c r="D172" s="7">
        <f t="shared" si="2"/>
        <v>1602.08</v>
      </c>
    </row>
    <row r="173" spans="1:4" x14ac:dyDescent="0.3">
      <c r="A173" s="2" t="s">
        <v>184</v>
      </c>
      <c r="B173" s="2" t="s">
        <v>14</v>
      </c>
      <c r="C173" s="6">
        <v>1.32</v>
      </c>
      <c r="D173" s="7">
        <f t="shared" si="2"/>
        <v>33880.44</v>
      </c>
    </row>
    <row r="174" spans="1:4" x14ac:dyDescent="0.3">
      <c r="A174" s="2" t="s">
        <v>185</v>
      </c>
      <c r="B174" s="2" t="s">
        <v>14</v>
      </c>
      <c r="C174" s="6">
        <v>1.61</v>
      </c>
      <c r="D174" s="7">
        <f t="shared" si="2"/>
        <v>41323.870000000003</v>
      </c>
    </row>
    <row r="175" spans="1:4" x14ac:dyDescent="0.3">
      <c r="A175" s="2" t="s">
        <v>186</v>
      </c>
      <c r="B175" s="2" t="s">
        <v>12</v>
      </c>
      <c r="C175" s="6">
        <v>1.67</v>
      </c>
      <c r="D175" s="7">
        <f t="shared" si="2"/>
        <v>1602.08</v>
      </c>
    </row>
    <row r="176" spans="1:4" x14ac:dyDescent="0.3">
      <c r="A176" s="2" t="s">
        <v>187</v>
      </c>
      <c r="B176" s="2" t="s">
        <v>12</v>
      </c>
      <c r="C176" s="6">
        <v>1.6</v>
      </c>
      <c r="D176" s="7">
        <f t="shared" si="2"/>
        <v>1602.08</v>
      </c>
    </row>
    <row r="177" spans="1:4" x14ac:dyDescent="0.3">
      <c r="A177" s="2" t="s">
        <v>188</v>
      </c>
      <c r="B177" s="2" t="s">
        <v>12</v>
      </c>
      <c r="C177" s="6">
        <v>1.82</v>
      </c>
      <c r="D177" s="7">
        <f t="shared" si="2"/>
        <v>1602.08</v>
      </c>
    </row>
    <row r="178" spans="1:4" x14ac:dyDescent="0.3">
      <c r="A178" s="2" t="s">
        <v>189</v>
      </c>
      <c r="B178" s="2" t="s">
        <v>14</v>
      </c>
      <c r="C178" s="6">
        <v>1.58</v>
      </c>
      <c r="D178" s="7">
        <f t="shared" si="2"/>
        <v>40553.86</v>
      </c>
    </row>
    <row r="179" spans="1:4" x14ac:dyDescent="0.3">
      <c r="A179" s="2" t="s">
        <v>190</v>
      </c>
      <c r="B179" s="2" t="s">
        <v>12</v>
      </c>
      <c r="C179" s="6">
        <v>1.99</v>
      </c>
      <c r="D179" s="7">
        <f t="shared" si="2"/>
        <v>1602.08</v>
      </c>
    </row>
    <row r="180" spans="1:4" x14ac:dyDescent="0.3">
      <c r="A180" s="2" t="s">
        <v>191</v>
      </c>
      <c r="B180" s="2" t="s">
        <v>14</v>
      </c>
      <c r="C180" s="6">
        <v>1.79</v>
      </c>
      <c r="D180" s="7">
        <f t="shared" si="2"/>
        <v>45943.93</v>
      </c>
    </row>
    <row r="181" spans="1:4" x14ac:dyDescent="0.3">
      <c r="A181" s="2" t="s">
        <v>192</v>
      </c>
      <c r="B181" s="2" t="s">
        <v>12</v>
      </c>
      <c r="C181" s="6">
        <v>1.06</v>
      </c>
      <c r="D181" s="7">
        <f t="shared" si="2"/>
        <v>1602.08</v>
      </c>
    </row>
    <row r="182" spans="1:4" x14ac:dyDescent="0.3">
      <c r="A182" s="2" t="s">
        <v>193</v>
      </c>
      <c r="B182" s="2" t="s">
        <v>12</v>
      </c>
      <c r="C182" s="6">
        <v>1.42</v>
      </c>
      <c r="D182" s="7">
        <f t="shared" si="2"/>
        <v>1602.08</v>
      </c>
    </row>
    <row r="183" spans="1:4" x14ac:dyDescent="0.3">
      <c r="A183" s="2" t="s">
        <v>194</v>
      </c>
      <c r="B183" s="2" t="s">
        <v>14</v>
      </c>
      <c r="C183" s="6">
        <v>1.06</v>
      </c>
      <c r="D183" s="7">
        <f t="shared" si="2"/>
        <v>27207.02</v>
      </c>
    </row>
    <row r="184" spans="1:4" x14ac:dyDescent="0.3">
      <c r="A184" s="2" t="s">
        <v>195</v>
      </c>
      <c r="B184" s="2" t="s">
        <v>12</v>
      </c>
      <c r="C184" s="6">
        <v>1.79</v>
      </c>
      <c r="D184" s="7">
        <f t="shared" si="2"/>
        <v>1602.08</v>
      </c>
    </row>
    <row r="185" spans="1:4" x14ac:dyDescent="0.3">
      <c r="A185" s="2" t="s">
        <v>196</v>
      </c>
      <c r="B185" s="2" t="s">
        <v>14</v>
      </c>
      <c r="C185" s="6">
        <v>1.34</v>
      </c>
      <c r="D185" s="7">
        <f t="shared" si="2"/>
        <v>34393.78</v>
      </c>
    </row>
    <row r="186" spans="1:4" x14ac:dyDescent="0.3">
      <c r="A186" s="2" t="s">
        <v>197</v>
      </c>
      <c r="B186" s="2" t="s">
        <v>12</v>
      </c>
      <c r="C186" s="6">
        <v>1.8</v>
      </c>
      <c r="D186" s="7">
        <f t="shared" si="2"/>
        <v>1602.08</v>
      </c>
    </row>
    <row r="187" spans="1:4" x14ac:dyDescent="0.3">
      <c r="A187" s="2" t="s">
        <v>198</v>
      </c>
      <c r="B187" s="2" t="s">
        <v>14</v>
      </c>
      <c r="C187" s="6">
        <v>2</v>
      </c>
      <c r="D187" s="7">
        <f t="shared" si="2"/>
        <v>51334</v>
      </c>
    </row>
    <row r="188" spans="1:4" x14ac:dyDescent="0.3">
      <c r="A188" s="2" t="s">
        <v>199</v>
      </c>
      <c r="B188" s="2" t="s">
        <v>14</v>
      </c>
      <c r="C188" s="6">
        <v>1.44</v>
      </c>
      <c r="D188" s="7">
        <f t="shared" si="2"/>
        <v>36960.479999999996</v>
      </c>
    </row>
    <row r="189" spans="1:4" x14ac:dyDescent="0.3">
      <c r="A189" s="2" t="s">
        <v>200</v>
      </c>
      <c r="B189" s="2" t="s">
        <v>12</v>
      </c>
      <c r="C189" s="6">
        <v>1.77</v>
      </c>
      <c r="D189" s="7">
        <f t="shared" si="2"/>
        <v>1602.08</v>
      </c>
    </row>
    <row r="190" spans="1:4" x14ac:dyDescent="0.3">
      <c r="A190" s="2" t="s">
        <v>201</v>
      </c>
      <c r="B190" s="2" t="s">
        <v>12</v>
      </c>
      <c r="C190" s="6">
        <v>1.84</v>
      </c>
      <c r="D190" s="7">
        <f t="shared" si="2"/>
        <v>1602.08</v>
      </c>
    </row>
    <row r="191" spans="1:4" x14ac:dyDescent="0.3">
      <c r="A191" s="2" t="s">
        <v>202</v>
      </c>
      <c r="B191" s="2" t="s">
        <v>12</v>
      </c>
      <c r="C191" s="6">
        <v>1.42</v>
      </c>
      <c r="D191" s="7">
        <f t="shared" si="2"/>
        <v>1602.08</v>
      </c>
    </row>
    <row r="192" spans="1:4" x14ac:dyDescent="0.3">
      <c r="A192" s="2" t="s">
        <v>203</v>
      </c>
      <c r="B192" s="2" t="s">
        <v>14</v>
      </c>
      <c r="C192" s="6">
        <v>1.9</v>
      </c>
      <c r="D192" s="7">
        <f t="shared" si="2"/>
        <v>48767.299999999996</v>
      </c>
    </row>
    <row r="193" spans="1:4" x14ac:dyDescent="0.3">
      <c r="A193" s="2" t="s">
        <v>204</v>
      </c>
      <c r="B193" s="2" t="s">
        <v>14</v>
      </c>
      <c r="C193" s="6">
        <v>1.8</v>
      </c>
      <c r="D193" s="7">
        <f t="shared" si="2"/>
        <v>46200.6</v>
      </c>
    </row>
    <row r="194" spans="1:4" x14ac:dyDescent="0.3">
      <c r="A194" s="2" t="s">
        <v>205</v>
      </c>
      <c r="B194" s="2" t="s">
        <v>14</v>
      </c>
      <c r="C194" s="6">
        <v>1.29</v>
      </c>
      <c r="D194" s="7">
        <f t="shared" si="2"/>
        <v>33110.43</v>
      </c>
    </row>
    <row r="195" spans="1:4" x14ac:dyDescent="0.3">
      <c r="A195" s="2" t="s">
        <v>206</v>
      </c>
      <c r="B195" s="2" t="s">
        <v>14</v>
      </c>
      <c r="C195" s="6">
        <v>1.08</v>
      </c>
      <c r="D195" s="7">
        <f t="shared" ref="D195:D258" si="3">IF(B195=$G$2,C195*$H$2,$H$3)</f>
        <v>27720.36</v>
      </c>
    </row>
    <row r="196" spans="1:4" x14ac:dyDescent="0.3">
      <c r="A196" s="2" t="s">
        <v>207</v>
      </c>
      <c r="B196" s="2" t="s">
        <v>14</v>
      </c>
      <c r="C196" s="6">
        <v>1.1000000000000001</v>
      </c>
      <c r="D196" s="7">
        <f t="shared" si="3"/>
        <v>28233.7</v>
      </c>
    </row>
    <row r="197" spans="1:4" x14ac:dyDescent="0.3">
      <c r="A197" s="2" t="s">
        <v>208</v>
      </c>
      <c r="B197" s="2" t="s">
        <v>12</v>
      </c>
      <c r="C197" s="6">
        <v>1.25</v>
      </c>
      <c r="D197" s="7">
        <f t="shared" si="3"/>
        <v>1602.08</v>
      </c>
    </row>
    <row r="198" spans="1:4" x14ac:dyDescent="0.3">
      <c r="A198" s="2" t="s">
        <v>209</v>
      </c>
      <c r="B198" s="2" t="s">
        <v>12</v>
      </c>
      <c r="C198" s="6">
        <v>1.2</v>
      </c>
      <c r="D198" s="7">
        <f t="shared" si="3"/>
        <v>1602.08</v>
      </c>
    </row>
    <row r="199" spans="1:4" x14ac:dyDescent="0.3">
      <c r="A199" s="2" t="s">
        <v>210</v>
      </c>
      <c r="B199" s="2" t="s">
        <v>12</v>
      </c>
      <c r="C199" s="6">
        <v>1.83</v>
      </c>
      <c r="D199" s="7">
        <f t="shared" si="3"/>
        <v>1602.08</v>
      </c>
    </row>
    <row r="200" spans="1:4" x14ac:dyDescent="0.3">
      <c r="A200" s="2" t="s">
        <v>211</v>
      </c>
      <c r="B200" s="2" t="s">
        <v>14</v>
      </c>
      <c r="C200" s="6">
        <v>1.97</v>
      </c>
      <c r="D200" s="7">
        <f t="shared" si="3"/>
        <v>50563.99</v>
      </c>
    </row>
    <row r="201" spans="1:4" x14ac:dyDescent="0.3">
      <c r="A201" s="2" t="s">
        <v>212</v>
      </c>
      <c r="B201" s="2" t="s">
        <v>12</v>
      </c>
      <c r="C201" s="6">
        <v>1.62</v>
      </c>
      <c r="D201" s="7">
        <f t="shared" si="3"/>
        <v>1602.08</v>
      </c>
    </row>
    <row r="202" spans="1:4" x14ac:dyDescent="0.3">
      <c r="A202" s="2" t="s">
        <v>213</v>
      </c>
      <c r="B202" s="2" t="s">
        <v>14</v>
      </c>
      <c r="C202" s="6">
        <v>1.64</v>
      </c>
      <c r="D202" s="7">
        <f t="shared" si="3"/>
        <v>42093.88</v>
      </c>
    </row>
    <row r="203" spans="1:4" x14ac:dyDescent="0.3">
      <c r="A203" s="2" t="s">
        <v>214</v>
      </c>
      <c r="B203" s="2" t="s">
        <v>14</v>
      </c>
      <c r="C203" s="6">
        <v>1.75</v>
      </c>
      <c r="D203" s="7">
        <f t="shared" si="3"/>
        <v>44917.25</v>
      </c>
    </row>
    <row r="204" spans="1:4" x14ac:dyDescent="0.3">
      <c r="A204" s="2" t="s">
        <v>215</v>
      </c>
      <c r="B204" s="2" t="s">
        <v>14</v>
      </c>
      <c r="C204" s="6">
        <v>1.83</v>
      </c>
      <c r="D204" s="7">
        <f t="shared" si="3"/>
        <v>46970.61</v>
      </c>
    </row>
    <row r="205" spans="1:4" x14ac:dyDescent="0.3">
      <c r="A205" s="2" t="s">
        <v>216</v>
      </c>
      <c r="B205" s="2" t="s">
        <v>12</v>
      </c>
      <c r="C205" s="6">
        <v>1.1100000000000001</v>
      </c>
      <c r="D205" s="7">
        <f t="shared" si="3"/>
        <v>1602.08</v>
      </c>
    </row>
    <row r="206" spans="1:4" x14ac:dyDescent="0.3">
      <c r="A206" s="2" t="s">
        <v>217</v>
      </c>
      <c r="B206" s="2" t="s">
        <v>14</v>
      </c>
      <c r="C206" s="6">
        <v>1.83</v>
      </c>
      <c r="D206" s="7">
        <f t="shared" si="3"/>
        <v>46970.61</v>
      </c>
    </row>
    <row r="207" spans="1:4" x14ac:dyDescent="0.3">
      <c r="A207" s="2" t="s">
        <v>218</v>
      </c>
      <c r="B207" s="2" t="s">
        <v>14</v>
      </c>
      <c r="C207" s="6">
        <v>1.1499999999999999</v>
      </c>
      <c r="D207" s="7">
        <f t="shared" si="3"/>
        <v>29517.05</v>
      </c>
    </row>
    <row r="208" spans="1:4" x14ac:dyDescent="0.3">
      <c r="A208" s="2" t="s">
        <v>219</v>
      </c>
      <c r="B208" s="2" t="s">
        <v>12</v>
      </c>
      <c r="C208" s="6">
        <v>1.22</v>
      </c>
      <c r="D208" s="7">
        <f t="shared" si="3"/>
        <v>1602.08</v>
      </c>
    </row>
    <row r="209" spans="1:4" x14ac:dyDescent="0.3">
      <c r="A209" s="2" t="s">
        <v>220</v>
      </c>
      <c r="B209" s="2" t="s">
        <v>14</v>
      </c>
      <c r="C209" s="6">
        <v>1.02</v>
      </c>
      <c r="D209" s="7">
        <f t="shared" si="3"/>
        <v>26180.34</v>
      </c>
    </row>
    <row r="210" spans="1:4" x14ac:dyDescent="0.3">
      <c r="A210" s="2" t="s">
        <v>221</v>
      </c>
      <c r="B210" s="2" t="s">
        <v>12</v>
      </c>
      <c r="C210" s="6">
        <v>1.23</v>
      </c>
      <c r="D210" s="7">
        <f t="shared" si="3"/>
        <v>1602.08</v>
      </c>
    </row>
    <row r="211" spans="1:4" x14ac:dyDescent="0.3">
      <c r="A211" s="2" t="s">
        <v>222</v>
      </c>
      <c r="B211" s="2" t="s">
        <v>14</v>
      </c>
      <c r="C211" s="6">
        <v>1.77</v>
      </c>
      <c r="D211" s="7">
        <f t="shared" si="3"/>
        <v>45430.590000000004</v>
      </c>
    </row>
    <row r="212" spans="1:4" x14ac:dyDescent="0.3">
      <c r="A212" s="2" t="s">
        <v>223</v>
      </c>
      <c r="B212" s="2" t="s">
        <v>14</v>
      </c>
      <c r="C212" s="6">
        <v>1.66</v>
      </c>
      <c r="D212" s="7">
        <f t="shared" si="3"/>
        <v>42607.22</v>
      </c>
    </row>
    <row r="213" spans="1:4" x14ac:dyDescent="0.3">
      <c r="A213" s="2" t="s">
        <v>224</v>
      </c>
      <c r="B213" s="2" t="s">
        <v>12</v>
      </c>
      <c r="C213" s="6">
        <v>1.92</v>
      </c>
      <c r="D213" s="7">
        <f t="shared" si="3"/>
        <v>1602.08</v>
      </c>
    </row>
    <row r="214" spans="1:4" x14ac:dyDescent="0.3">
      <c r="A214" s="2" t="s">
        <v>225</v>
      </c>
      <c r="B214" s="2" t="s">
        <v>12</v>
      </c>
      <c r="C214" s="6">
        <v>1.41</v>
      </c>
      <c r="D214" s="7">
        <f t="shared" si="3"/>
        <v>1602.08</v>
      </c>
    </row>
    <row r="215" spans="1:4" x14ac:dyDescent="0.3">
      <c r="A215" s="2" t="s">
        <v>226</v>
      </c>
      <c r="B215" s="2" t="s">
        <v>14</v>
      </c>
      <c r="C215" s="6">
        <v>1.1100000000000001</v>
      </c>
      <c r="D215" s="7">
        <f t="shared" si="3"/>
        <v>28490.370000000003</v>
      </c>
    </row>
    <row r="216" spans="1:4" x14ac:dyDescent="0.3">
      <c r="A216" s="2" t="s">
        <v>227</v>
      </c>
      <c r="B216" s="2" t="s">
        <v>14</v>
      </c>
      <c r="C216" s="6">
        <v>1.73</v>
      </c>
      <c r="D216" s="7">
        <f t="shared" si="3"/>
        <v>44403.909999999996</v>
      </c>
    </row>
    <row r="217" spans="1:4" x14ac:dyDescent="0.3">
      <c r="A217" s="2" t="s">
        <v>228</v>
      </c>
      <c r="B217" s="2" t="s">
        <v>12</v>
      </c>
      <c r="C217" s="6">
        <v>1.77</v>
      </c>
      <c r="D217" s="7">
        <f t="shared" si="3"/>
        <v>1602.08</v>
      </c>
    </row>
    <row r="218" spans="1:4" x14ac:dyDescent="0.3">
      <c r="A218" s="2" t="s">
        <v>229</v>
      </c>
      <c r="B218" s="2" t="s">
        <v>14</v>
      </c>
      <c r="C218" s="6">
        <v>1.1599999999999999</v>
      </c>
      <c r="D218" s="7">
        <f t="shared" si="3"/>
        <v>29773.719999999998</v>
      </c>
    </row>
    <row r="219" spans="1:4" x14ac:dyDescent="0.3">
      <c r="A219" s="2" t="s">
        <v>230</v>
      </c>
      <c r="B219" s="2" t="s">
        <v>14</v>
      </c>
      <c r="C219" s="6">
        <v>1.3</v>
      </c>
      <c r="D219" s="7">
        <f t="shared" si="3"/>
        <v>33367.1</v>
      </c>
    </row>
    <row r="220" spans="1:4" x14ac:dyDescent="0.3">
      <c r="A220" s="2" t="s">
        <v>231</v>
      </c>
      <c r="B220" s="2" t="s">
        <v>12</v>
      </c>
      <c r="C220" s="6">
        <v>1.67</v>
      </c>
      <c r="D220" s="7">
        <f t="shared" si="3"/>
        <v>1602.08</v>
      </c>
    </row>
    <row r="221" spans="1:4" x14ac:dyDescent="0.3">
      <c r="A221" s="2" t="s">
        <v>232</v>
      </c>
      <c r="B221" s="2" t="s">
        <v>14</v>
      </c>
      <c r="C221" s="6">
        <v>1.08</v>
      </c>
      <c r="D221" s="7">
        <f t="shared" si="3"/>
        <v>27720.36</v>
      </c>
    </row>
    <row r="222" spans="1:4" x14ac:dyDescent="0.3">
      <c r="A222" s="2" t="s">
        <v>233</v>
      </c>
      <c r="B222" s="2" t="s">
        <v>12</v>
      </c>
      <c r="C222" s="6">
        <v>1.95</v>
      </c>
      <c r="D222" s="7">
        <f t="shared" si="3"/>
        <v>1602.08</v>
      </c>
    </row>
    <row r="223" spans="1:4" x14ac:dyDescent="0.3">
      <c r="A223" s="2" t="s">
        <v>234</v>
      </c>
      <c r="B223" s="2" t="s">
        <v>12</v>
      </c>
      <c r="C223" s="6">
        <v>1.92</v>
      </c>
      <c r="D223" s="7">
        <f t="shared" si="3"/>
        <v>1602.08</v>
      </c>
    </row>
    <row r="224" spans="1:4" x14ac:dyDescent="0.3">
      <c r="A224" s="2" t="s">
        <v>235</v>
      </c>
      <c r="B224" s="2" t="s">
        <v>12</v>
      </c>
      <c r="C224" s="6">
        <v>1.1200000000000001</v>
      </c>
      <c r="D224" s="7">
        <f t="shared" si="3"/>
        <v>1602.08</v>
      </c>
    </row>
    <row r="225" spans="1:4" x14ac:dyDescent="0.3">
      <c r="A225" s="2" t="s">
        <v>236</v>
      </c>
      <c r="B225" s="2" t="s">
        <v>14</v>
      </c>
      <c r="C225" s="6">
        <v>1.94</v>
      </c>
      <c r="D225" s="7">
        <f t="shared" si="3"/>
        <v>49793.979999999996</v>
      </c>
    </row>
    <row r="226" spans="1:4" x14ac:dyDescent="0.3">
      <c r="A226" s="2" t="s">
        <v>237</v>
      </c>
      <c r="B226" s="2" t="s">
        <v>12</v>
      </c>
      <c r="C226" s="6">
        <v>1.04</v>
      </c>
      <c r="D226" s="7">
        <f t="shared" si="3"/>
        <v>1602.08</v>
      </c>
    </row>
    <row r="227" spans="1:4" x14ac:dyDescent="0.3">
      <c r="A227" s="2" t="s">
        <v>238</v>
      </c>
      <c r="B227" s="2" t="s">
        <v>14</v>
      </c>
      <c r="C227" s="6">
        <v>1.88</v>
      </c>
      <c r="D227" s="7">
        <f t="shared" si="3"/>
        <v>48253.96</v>
      </c>
    </row>
    <row r="228" spans="1:4" x14ac:dyDescent="0.3">
      <c r="A228" s="2" t="s">
        <v>239</v>
      </c>
      <c r="B228" s="2" t="s">
        <v>12</v>
      </c>
      <c r="C228" s="6">
        <v>1.96</v>
      </c>
      <c r="D228" s="7">
        <f t="shared" si="3"/>
        <v>1602.08</v>
      </c>
    </row>
    <row r="229" spans="1:4" x14ac:dyDescent="0.3">
      <c r="A229" s="2" t="s">
        <v>240</v>
      </c>
      <c r="B229" s="2" t="s">
        <v>14</v>
      </c>
      <c r="C229" s="6">
        <v>1.58</v>
      </c>
      <c r="D229" s="7">
        <f t="shared" si="3"/>
        <v>40553.86</v>
      </c>
    </row>
    <row r="230" spans="1:4" x14ac:dyDescent="0.3">
      <c r="A230" s="2" t="s">
        <v>241</v>
      </c>
      <c r="B230" s="2" t="s">
        <v>14</v>
      </c>
      <c r="C230" s="6">
        <v>1.68</v>
      </c>
      <c r="D230" s="7">
        <f t="shared" si="3"/>
        <v>43120.56</v>
      </c>
    </row>
    <row r="231" spans="1:4" x14ac:dyDescent="0.3">
      <c r="A231" s="2" t="s">
        <v>242</v>
      </c>
      <c r="B231" s="2" t="s">
        <v>12</v>
      </c>
      <c r="C231" s="6">
        <v>1.69</v>
      </c>
      <c r="D231" s="7">
        <f t="shared" si="3"/>
        <v>1602.08</v>
      </c>
    </row>
    <row r="232" spans="1:4" x14ac:dyDescent="0.3">
      <c r="A232" s="2" t="s">
        <v>243</v>
      </c>
      <c r="B232" s="2" t="s">
        <v>14</v>
      </c>
      <c r="C232" s="6">
        <v>1.86</v>
      </c>
      <c r="D232" s="7">
        <f t="shared" si="3"/>
        <v>47740.62</v>
      </c>
    </row>
    <row r="233" spans="1:4" x14ac:dyDescent="0.3">
      <c r="A233" s="2" t="s">
        <v>244</v>
      </c>
      <c r="B233" s="2" t="s">
        <v>14</v>
      </c>
      <c r="C233" s="6">
        <v>1.7</v>
      </c>
      <c r="D233" s="7">
        <f t="shared" si="3"/>
        <v>43633.9</v>
      </c>
    </row>
    <row r="234" spans="1:4" x14ac:dyDescent="0.3">
      <c r="A234" s="2" t="s">
        <v>245</v>
      </c>
      <c r="B234" s="2" t="s">
        <v>12</v>
      </c>
      <c r="C234" s="6">
        <v>1.46</v>
      </c>
      <c r="D234" s="7">
        <f t="shared" si="3"/>
        <v>1602.08</v>
      </c>
    </row>
    <row r="235" spans="1:4" x14ac:dyDescent="0.3">
      <c r="A235" s="2" t="s">
        <v>246</v>
      </c>
      <c r="B235" s="2" t="s">
        <v>14</v>
      </c>
      <c r="C235" s="6">
        <v>1.96</v>
      </c>
      <c r="D235" s="7">
        <f t="shared" si="3"/>
        <v>50307.32</v>
      </c>
    </row>
    <row r="236" spans="1:4" x14ac:dyDescent="0.3">
      <c r="A236" s="2" t="s">
        <v>247</v>
      </c>
      <c r="B236" s="2" t="s">
        <v>14</v>
      </c>
      <c r="C236" s="6">
        <v>1.59</v>
      </c>
      <c r="D236" s="7">
        <f t="shared" si="3"/>
        <v>40810.53</v>
      </c>
    </row>
    <row r="237" spans="1:4" x14ac:dyDescent="0.3">
      <c r="A237" s="2" t="s">
        <v>248</v>
      </c>
      <c r="B237" s="2" t="s">
        <v>12</v>
      </c>
      <c r="C237" s="6">
        <v>2</v>
      </c>
      <c r="D237" s="7">
        <f t="shared" si="3"/>
        <v>1602.08</v>
      </c>
    </row>
    <row r="238" spans="1:4" x14ac:dyDescent="0.3">
      <c r="A238" s="2" t="s">
        <v>249</v>
      </c>
      <c r="B238" s="2" t="s">
        <v>14</v>
      </c>
      <c r="C238" s="6">
        <v>1.56</v>
      </c>
      <c r="D238" s="7">
        <f t="shared" si="3"/>
        <v>40040.520000000004</v>
      </c>
    </row>
    <row r="239" spans="1:4" x14ac:dyDescent="0.3">
      <c r="A239" s="2" t="s">
        <v>250</v>
      </c>
      <c r="B239" s="2" t="s">
        <v>14</v>
      </c>
      <c r="C239" s="6">
        <v>1.2</v>
      </c>
      <c r="D239" s="7">
        <f t="shared" si="3"/>
        <v>30800.399999999998</v>
      </c>
    </row>
    <row r="240" spans="1:4" x14ac:dyDescent="0.3">
      <c r="A240" s="2" t="s">
        <v>251</v>
      </c>
      <c r="B240" s="2" t="s">
        <v>12</v>
      </c>
      <c r="C240" s="6">
        <v>1.48</v>
      </c>
      <c r="D240" s="7">
        <f t="shared" si="3"/>
        <v>1602.08</v>
      </c>
    </row>
    <row r="241" spans="1:4" x14ac:dyDescent="0.3">
      <c r="A241" s="2" t="s">
        <v>252</v>
      </c>
      <c r="B241" s="2" t="s">
        <v>12</v>
      </c>
      <c r="C241" s="6">
        <v>1.42</v>
      </c>
      <c r="D241" s="7">
        <f t="shared" si="3"/>
        <v>1602.08</v>
      </c>
    </row>
    <row r="242" spans="1:4" x14ac:dyDescent="0.3">
      <c r="A242" s="2" t="s">
        <v>253</v>
      </c>
      <c r="B242" s="2" t="s">
        <v>14</v>
      </c>
      <c r="C242" s="6">
        <v>1.99</v>
      </c>
      <c r="D242" s="7">
        <f t="shared" si="3"/>
        <v>51077.33</v>
      </c>
    </row>
    <row r="243" spans="1:4" x14ac:dyDescent="0.3">
      <c r="A243" s="2" t="s">
        <v>254</v>
      </c>
      <c r="B243" s="2" t="s">
        <v>14</v>
      </c>
      <c r="C243" s="6">
        <v>1.86</v>
      </c>
      <c r="D243" s="7">
        <f t="shared" si="3"/>
        <v>47740.62</v>
      </c>
    </row>
    <row r="244" spans="1:4" x14ac:dyDescent="0.3">
      <c r="A244" s="2" t="s">
        <v>255</v>
      </c>
      <c r="B244" s="2" t="s">
        <v>14</v>
      </c>
      <c r="C244" s="6">
        <v>1.23</v>
      </c>
      <c r="D244" s="7">
        <f t="shared" si="3"/>
        <v>31570.41</v>
      </c>
    </row>
    <row r="245" spans="1:4" x14ac:dyDescent="0.3">
      <c r="A245" s="2" t="s">
        <v>256</v>
      </c>
      <c r="B245" s="2" t="s">
        <v>12</v>
      </c>
      <c r="C245" s="6">
        <v>1.82</v>
      </c>
      <c r="D245" s="7">
        <f t="shared" si="3"/>
        <v>1602.08</v>
      </c>
    </row>
    <row r="246" spans="1:4" x14ac:dyDescent="0.3">
      <c r="A246" s="2" t="s">
        <v>257</v>
      </c>
      <c r="B246" s="2" t="s">
        <v>12</v>
      </c>
      <c r="C246" s="6">
        <v>1.51</v>
      </c>
      <c r="D246" s="7">
        <f t="shared" si="3"/>
        <v>1602.08</v>
      </c>
    </row>
    <row r="247" spans="1:4" x14ac:dyDescent="0.3">
      <c r="A247" s="2" t="s">
        <v>258</v>
      </c>
      <c r="B247" s="2" t="s">
        <v>14</v>
      </c>
      <c r="C247" s="6">
        <v>1.24</v>
      </c>
      <c r="D247" s="7">
        <f t="shared" si="3"/>
        <v>31827.079999999998</v>
      </c>
    </row>
    <row r="248" spans="1:4" x14ac:dyDescent="0.3">
      <c r="A248" s="2" t="s">
        <v>259</v>
      </c>
      <c r="B248" s="2" t="s">
        <v>14</v>
      </c>
      <c r="C248" s="6">
        <v>1.93</v>
      </c>
      <c r="D248" s="7">
        <f t="shared" si="3"/>
        <v>49537.31</v>
      </c>
    </row>
    <row r="249" spans="1:4" x14ac:dyDescent="0.3">
      <c r="A249" s="2" t="s">
        <v>260</v>
      </c>
      <c r="B249" s="2" t="s">
        <v>14</v>
      </c>
      <c r="C249" s="6">
        <v>1.71</v>
      </c>
      <c r="D249" s="7">
        <f t="shared" si="3"/>
        <v>43890.57</v>
      </c>
    </row>
    <row r="250" spans="1:4" x14ac:dyDescent="0.3">
      <c r="A250" s="2" t="s">
        <v>261</v>
      </c>
      <c r="B250" s="2" t="s">
        <v>12</v>
      </c>
      <c r="C250" s="6">
        <v>1.0900000000000001</v>
      </c>
      <c r="D250" s="7">
        <f t="shared" si="3"/>
        <v>1602.08</v>
      </c>
    </row>
    <row r="251" spans="1:4" x14ac:dyDescent="0.3">
      <c r="A251" s="2" t="s">
        <v>262</v>
      </c>
      <c r="B251" s="2" t="s">
        <v>14</v>
      </c>
      <c r="C251" s="6">
        <v>1.27</v>
      </c>
      <c r="D251" s="7">
        <f t="shared" si="3"/>
        <v>32597.09</v>
      </c>
    </row>
    <row r="252" spans="1:4" x14ac:dyDescent="0.3">
      <c r="A252" s="2" t="s">
        <v>263</v>
      </c>
      <c r="B252" s="2" t="s">
        <v>12</v>
      </c>
      <c r="C252" s="6">
        <v>1.74</v>
      </c>
      <c r="D252" s="7">
        <f t="shared" si="3"/>
        <v>1602.08</v>
      </c>
    </row>
    <row r="253" spans="1:4" x14ac:dyDescent="0.3">
      <c r="A253" s="2" t="s">
        <v>264</v>
      </c>
      <c r="B253" s="2" t="s">
        <v>12</v>
      </c>
      <c r="C253" s="6">
        <v>1.06</v>
      </c>
      <c r="D253" s="7">
        <f t="shared" si="3"/>
        <v>1602.08</v>
      </c>
    </row>
    <row r="254" spans="1:4" x14ac:dyDescent="0.3">
      <c r="A254" s="2" t="s">
        <v>265</v>
      </c>
      <c r="B254" s="2" t="s">
        <v>14</v>
      </c>
      <c r="C254" s="6">
        <v>1.61</v>
      </c>
      <c r="D254" s="7">
        <f t="shared" si="3"/>
        <v>41323.870000000003</v>
      </c>
    </row>
    <row r="255" spans="1:4" x14ac:dyDescent="0.3">
      <c r="A255" s="2" t="s">
        <v>266</v>
      </c>
      <c r="B255" s="2" t="s">
        <v>14</v>
      </c>
      <c r="C255" s="6">
        <v>1.72</v>
      </c>
      <c r="D255" s="7">
        <f t="shared" si="3"/>
        <v>44147.24</v>
      </c>
    </row>
    <row r="256" spans="1:4" x14ac:dyDescent="0.3">
      <c r="A256" s="2" t="s">
        <v>267</v>
      </c>
      <c r="B256" s="2" t="s">
        <v>12</v>
      </c>
      <c r="C256" s="6">
        <v>1.79</v>
      </c>
      <c r="D256" s="7">
        <f t="shared" si="3"/>
        <v>1602.08</v>
      </c>
    </row>
    <row r="257" spans="1:4" x14ac:dyDescent="0.3">
      <c r="A257" s="2" t="s">
        <v>268</v>
      </c>
      <c r="B257" s="2" t="s">
        <v>14</v>
      </c>
      <c r="C257" s="6">
        <v>1.41</v>
      </c>
      <c r="D257" s="7">
        <f t="shared" si="3"/>
        <v>36190.47</v>
      </c>
    </row>
    <row r="258" spans="1:4" x14ac:dyDescent="0.3">
      <c r="A258" s="2" t="s">
        <v>269</v>
      </c>
      <c r="B258" s="2" t="s">
        <v>12</v>
      </c>
      <c r="C258" s="6">
        <v>1.25</v>
      </c>
      <c r="D258" s="7">
        <f t="shared" si="3"/>
        <v>1602.08</v>
      </c>
    </row>
    <row r="259" spans="1:4" x14ac:dyDescent="0.3">
      <c r="A259" s="2" t="s">
        <v>270</v>
      </c>
      <c r="B259" s="2" t="s">
        <v>14</v>
      </c>
      <c r="C259" s="6">
        <v>1.51</v>
      </c>
      <c r="D259" s="7">
        <f t="shared" ref="D259:D322" si="4">IF(B259=$G$2,C259*$H$2,$H$3)</f>
        <v>38757.17</v>
      </c>
    </row>
    <row r="260" spans="1:4" x14ac:dyDescent="0.3">
      <c r="A260" s="2" t="s">
        <v>271</v>
      </c>
      <c r="B260" s="2" t="s">
        <v>12</v>
      </c>
      <c r="C260" s="6">
        <v>1.1599999999999999</v>
      </c>
      <c r="D260" s="7">
        <f t="shared" si="4"/>
        <v>1602.08</v>
      </c>
    </row>
    <row r="261" spans="1:4" x14ac:dyDescent="0.3">
      <c r="A261" s="2" t="s">
        <v>272</v>
      </c>
      <c r="B261" s="2" t="s">
        <v>14</v>
      </c>
      <c r="C261" s="6">
        <v>1.17</v>
      </c>
      <c r="D261" s="7">
        <f t="shared" si="4"/>
        <v>30030.39</v>
      </c>
    </row>
    <row r="262" spans="1:4" x14ac:dyDescent="0.3">
      <c r="A262" s="2" t="s">
        <v>273</v>
      </c>
      <c r="B262" s="2" t="s">
        <v>12</v>
      </c>
      <c r="C262" s="6">
        <v>1.8</v>
      </c>
      <c r="D262" s="7">
        <f t="shared" si="4"/>
        <v>1602.08</v>
      </c>
    </row>
    <row r="263" spans="1:4" x14ac:dyDescent="0.3">
      <c r="A263" s="2" t="s">
        <v>274</v>
      </c>
      <c r="B263" s="2" t="s">
        <v>14</v>
      </c>
      <c r="C263" s="6">
        <v>1.89</v>
      </c>
      <c r="D263" s="7">
        <f t="shared" si="4"/>
        <v>48510.63</v>
      </c>
    </row>
    <row r="264" spans="1:4" x14ac:dyDescent="0.3">
      <c r="A264" s="2" t="s">
        <v>275</v>
      </c>
      <c r="B264" s="2" t="s">
        <v>14</v>
      </c>
      <c r="C264" s="6">
        <v>1.68</v>
      </c>
      <c r="D264" s="7">
        <f t="shared" si="4"/>
        <v>43120.56</v>
      </c>
    </row>
    <row r="265" spans="1:4" x14ac:dyDescent="0.3">
      <c r="A265" s="2" t="s">
        <v>276</v>
      </c>
      <c r="B265" s="2" t="s">
        <v>12</v>
      </c>
      <c r="C265" s="6">
        <v>1.62</v>
      </c>
      <c r="D265" s="7">
        <f t="shared" si="4"/>
        <v>1602.08</v>
      </c>
    </row>
    <row r="266" spans="1:4" x14ac:dyDescent="0.3">
      <c r="A266" s="2" t="s">
        <v>277</v>
      </c>
      <c r="B266" s="2" t="s">
        <v>12</v>
      </c>
      <c r="C266" s="6">
        <v>1.3</v>
      </c>
      <c r="D266" s="7">
        <f t="shared" si="4"/>
        <v>1602.08</v>
      </c>
    </row>
    <row r="267" spans="1:4" x14ac:dyDescent="0.3">
      <c r="A267" s="2" t="s">
        <v>278</v>
      </c>
      <c r="B267" s="2" t="s">
        <v>14</v>
      </c>
      <c r="C267" s="6">
        <v>1.74</v>
      </c>
      <c r="D267" s="7">
        <f t="shared" si="4"/>
        <v>44660.58</v>
      </c>
    </row>
    <row r="268" spans="1:4" x14ac:dyDescent="0.3">
      <c r="A268" s="2" t="s">
        <v>279</v>
      </c>
      <c r="B268" s="2" t="s">
        <v>12</v>
      </c>
      <c r="C268" s="6">
        <v>1.0900000000000001</v>
      </c>
      <c r="D268" s="7">
        <f t="shared" si="4"/>
        <v>1602.08</v>
      </c>
    </row>
    <row r="269" spans="1:4" x14ac:dyDescent="0.3">
      <c r="A269" s="2" t="s">
        <v>280</v>
      </c>
      <c r="B269" s="2" t="s">
        <v>14</v>
      </c>
      <c r="C269" s="6">
        <v>1.97</v>
      </c>
      <c r="D269" s="7">
        <f t="shared" si="4"/>
        <v>50563.99</v>
      </c>
    </row>
    <row r="270" spans="1:4" x14ac:dyDescent="0.3">
      <c r="A270" s="2" t="s">
        <v>281</v>
      </c>
      <c r="B270" s="2" t="s">
        <v>12</v>
      </c>
      <c r="C270" s="6">
        <v>1.75</v>
      </c>
      <c r="D270" s="7">
        <f t="shared" si="4"/>
        <v>1602.08</v>
      </c>
    </row>
    <row r="271" spans="1:4" x14ac:dyDescent="0.3">
      <c r="A271" s="2" t="s">
        <v>282</v>
      </c>
      <c r="B271" s="2" t="s">
        <v>14</v>
      </c>
      <c r="C271" s="6">
        <v>1.66</v>
      </c>
      <c r="D271" s="7">
        <f t="shared" si="4"/>
        <v>42607.22</v>
      </c>
    </row>
    <row r="272" spans="1:4" x14ac:dyDescent="0.3">
      <c r="A272" s="2" t="s">
        <v>283</v>
      </c>
      <c r="B272" s="2" t="s">
        <v>14</v>
      </c>
      <c r="C272" s="6">
        <v>1.51</v>
      </c>
      <c r="D272" s="7">
        <f t="shared" si="4"/>
        <v>38757.17</v>
      </c>
    </row>
    <row r="273" spans="1:4" x14ac:dyDescent="0.3">
      <c r="A273" s="2" t="s">
        <v>284</v>
      </c>
      <c r="B273" s="2" t="s">
        <v>12</v>
      </c>
      <c r="C273" s="6">
        <v>1.47</v>
      </c>
      <c r="D273" s="7">
        <f t="shared" si="4"/>
        <v>1602.08</v>
      </c>
    </row>
    <row r="274" spans="1:4" x14ac:dyDescent="0.3">
      <c r="A274" s="2" t="s">
        <v>285</v>
      </c>
      <c r="B274" s="2" t="s">
        <v>12</v>
      </c>
      <c r="C274" s="6">
        <v>1.83</v>
      </c>
      <c r="D274" s="7">
        <f t="shared" si="4"/>
        <v>1602.08</v>
      </c>
    </row>
    <row r="275" spans="1:4" x14ac:dyDescent="0.3">
      <c r="A275" s="2" t="s">
        <v>286</v>
      </c>
      <c r="B275" s="2" t="s">
        <v>12</v>
      </c>
      <c r="C275" s="6">
        <v>1.23</v>
      </c>
      <c r="D275" s="7">
        <f t="shared" si="4"/>
        <v>1602.08</v>
      </c>
    </row>
    <row r="276" spans="1:4" x14ac:dyDescent="0.3">
      <c r="A276" s="2" t="s">
        <v>287</v>
      </c>
      <c r="B276" s="2" t="s">
        <v>14</v>
      </c>
      <c r="C276" s="6">
        <v>1.24</v>
      </c>
      <c r="D276" s="7">
        <f t="shared" si="4"/>
        <v>31827.079999999998</v>
      </c>
    </row>
    <row r="277" spans="1:4" x14ac:dyDescent="0.3">
      <c r="A277" s="2" t="s">
        <v>288</v>
      </c>
      <c r="B277" s="2" t="s">
        <v>12</v>
      </c>
      <c r="C277" s="6">
        <v>1.34</v>
      </c>
      <c r="D277" s="7">
        <f t="shared" si="4"/>
        <v>1602.08</v>
      </c>
    </row>
    <row r="278" spans="1:4" x14ac:dyDescent="0.3">
      <c r="A278" s="2" t="s">
        <v>289</v>
      </c>
      <c r="B278" s="2" t="s">
        <v>12</v>
      </c>
      <c r="C278" s="6">
        <v>1.67</v>
      </c>
      <c r="D278" s="7">
        <f t="shared" si="4"/>
        <v>1602.08</v>
      </c>
    </row>
    <row r="279" spans="1:4" x14ac:dyDescent="0.3">
      <c r="A279" s="2" t="s">
        <v>290</v>
      </c>
      <c r="B279" s="2" t="s">
        <v>12</v>
      </c>
      <c r="C279" s="6">
        <v>1.38</v>
      </c>
      <c r="D279" s="7">
        <f t="shared" si="4"/>
        <v>1602.08</v>
      </c>
    </row>
    <row r="280" spans="1:4" x14ac:dyDescent="0.3">
      <c r="A280" s="2" t="s">
        <v>291</v>
      </c>
      <c r="B280" s="2" t="s">
        <v>12</v>
      </c>
      <c r="C280" s="6">
        <v>1.36</v>
      </c>
      <c r="D280" s="7">
        <f t="shared" si="4"/>
        <v>1602.08</v>
      </c>
    </row>
    <row r="281" spans="1:4" x14ac:dyDescent="0.3">
      <c r="A281" s="2" t="s">
        <v>292</v>
      </c>
      <c r="B281" s="2" t="s">
        <v>12</v>
      </c>
      <c r="C281" s="6">
        <v>1.1599999999999999</v>
      </c>
      <c r="D281" s="7">
        <f t="shared" si="4"/>
        <v>1602.08</v>
      </c>
    </row>
    <row r="282" spans="1:4" x14ac:dyDescent="0.3">
      <c r="A282" s="2" t="s">
        <v>293</v>
      </c>
      <c r="B282" s="2" t="s">
        <v>12</v>
      </c>
      <c r="C282" s="6">
        <v>1.22</v>
      </c>
      <c r="D282" s="7">
        <f t="shared" si="4"/>
        <v>1602.08</v>
      </c>
    </row>
    <row r="283" spans="1:4" x14ac:dyDescent="0.3">
      <c r="A283" s="2" t="s">
        <v>294</v>
      </c>
      <c r="B283" s="2" t="s">
        <v>14</v>
      </c>
      <c r="C283" s="6">
        <v>1.95</v>
      </c>
      <c r="D283" s="7">
        <f t="shared" si="4"/>
        <v>50050.65</v>
      </c>
    </row>
    <row r="284" spans="1:4" x14ac:dyDescent="0.3">
      <c r="A284" s="2" t="s">
        <v>295</v>
      </c>
      <c r="B284" s="2" t="s">
        <v>14</v>
      </c>
      <c r="C284" s="6">
        <v>1.31</v>
      </c>
      <c r="D284" s="7">
        <f t="shared" si="4"/>
        <v>33623.770000000004</v>
      </c>
    </row>
    <row r="285" spans="1:4" x14ac:dyDescent="0.3">
      <c r="A285" s="2" t="s">
        <v>296</v>
      </c>
      <c r="B285" s="2" t="s">
        <v>12</v>
      </c>
      <c r="C285" s="6">
        <v>1.61</v>
      </c>
      <c r="D285" s="7">
        <f t="shared" si="4"/>
        <v>1602.08</v>
      </c>
    </row>
    <row r="286" spans="1:4" x14ac:dyDescent="0.3">
      <c r="A286" s="2" t="s">
        <v>297</v>
      </c>
      <c r="B286" s="2" t="s">
        <v>14</v>
      </c>
      <c r="C286" s="6">
        <v>1.76</v>
      </c>
      <c r="D286" s="7">
        <f t="shared" si="4"/>
        <v>45173.919999999998</v>
      </c>
    </row>
    <row r="287" spans="1:4" x14ac:dyDescent="0.3">
      <c r="A287" s="2" t="s">
        <v>298</v>
      </c>
      <c r="B287" s="2" t="s">
        <v>14</v>
      </c>
      <c r="C287" s="6">
        <v>1.24</v>
      </c>
      <c r="D287" s="7">
        <f t="shared" si="4"/>
        <v>31827.079999999998</v>
      </c>
    </row>
    <row r="288" spans="1:4" x14ac:dyDescent="0.3">
      <c r="A288" s="2" t="s">
        <v>299</v>
      </c>
      <c r="B288" s="2" t="s">
        <v>14</v>
      </c>
      <c r="C288" s="6">
        <v>1.42</v>
      </c>
      <c r="D288" s="7">
        <f t="shared" si="4"/>
        <v>36447.14</v>
      </c>
    </row>
    <row r="289" spans="1:4" x14ac:dyDescent="0.3">
      <c r="A289" s="2" t="s">
        <v>300</v>
      </c>
      <c r="B289" s="2" t="s">
        <v>14</v>
      </c>
      <c r="C289" s="6">
        <v>1.7</v>
      </c>
      <c r="D289" s="7">
        <f t="shared" si="4"/>
        <v>43633.9</v>
      </c>
    </row>
    <row r="290" spans="1:4" x14ac:dyDescent="0.3">
      <c r="A290" s="2" t="s">
        <v>301</v>
      </c>
      <c r="B290" s="2" t="s">
        <v>12</v>
      </c>
      <c r="C290" s="6">
        <v>1.66</v>
      </c>
      <c r="D290" s="7">
        <f t="shared" si="4"/>
        <v>1602.08</v>
      </c>
    </row>
    <row r="291" spans="1:4" x14ac:dyDescent="0.3">
      <c r="A291" s="2" t="s">
        <v>302</v>
      </c>
      <c r="B291" s="2" t="s">
        <v>14</v>
      </c>
      <c r="C291" s="6">
        <v>1.56</v>
      </c>
      <c r="D291" s="7">
        <f t="shared" si="4"/>
        <v>40040.520000000004</v>
      </c>
    </row>
    <row r="292" spans="1:4" x14ac:dyDescent="0.3">
      <c r="A292" s="2" t="s">
        <v>303</v>
      </c>
      <c r="B292" s="2" t="s">
        <v>14</v>
      </c>
      <c r="C292" s="6">
        <v>1.81</v>
      </c>
      <c r="D292" s="7">
        <f t="shared" si="4"/>
        <v>46457.270000000004</v>
      </c>
    </row>
    <row r="293" spans="1:4" x14ac:dyDescent="0.3">
      <c r="A293" s="2" t="s">
        <v>304</v>
      </c>
      <c r="B293" s="2" t="s">
        <v>12</v>
      </c>
      <c r="C293" s="6">
        <v>1.66</v>
      </c>
      <c r="D293" s="7">
        <f t="shared" si="4"/>
        <v>1602.08</v>
      </c>
    </row>
    <row r="294" spans="1:4" x14ac:dyDescent="0.3">
      <c r="A294" s="2" t="s">
        <v>305</v>
      </c>
      <c r="B294" s="2" t="s">
        <v>14</v>
      </c>
      <c r="C294" s="6">
        <v>1.08</v>
      </c>
      <c r="D294" s="7">
        <f t="shared" si="4"/>
        <v>27720.36</v>
      </c>
    </row>
    <row r="295" spans="1:4" x14ac:dyDescent="0.3">
      <c r="A295" s="2" t="s">
        <v>306</v>
      </c>
      <c r="B295" s="2" t="s">
        <v>12</v>
      </c>
      <c r="C295" s="6">
        <v>1.22</v>
      </c>
      <c r="D295" s="7">
        <f t="shared" si="4"/>
        <v>1602.08</v>
      </c>
    </row>
    <row r="296" spans="1:4" x14ac:dyDescent="0.3">
      <c r="A296" s="2" t="s">
        <v>307</v>
      </c>
      <c r="B296" s="2" t="s">
        <v>12</v>
      </c>
      <c r="C296" s="6">
        <v>1.19</v>
      </c>
      <c r="D296" s="7">
        <f t="shared" si="4"/>
        <v>1602.08</v>
      </c>
    </row>
    <row r="297" spans="1:4" x14ac:dyDescent="0.3">
      <c r="A297" s="2" t="s">
        <v>308</v>
      </c>
      <c r="B297" s="2" t="s">
        <v>14</v>
      </c>
      <c r="C297" s="6">
        <v>1.19</v>
      </c>
      <c r="D297" s="7">
        <f t="shared" si="4"/>
        <v>30543.73</v>
      </c>
    </row>
    <row r="298" spans="1:4" x14ac:dyDescent="0.3">
      <c r="A298" s="2" t="s">
        <v>309</v>
      </c>
      <c r="B298" s="2" t="s">
        <v>14</v>
      </c>
      <c r="C298" s="6">
        <v>1.17</v>
      </c>
      <c r="D298" s="7">
        <f t="shared" si="4"/>
        <v>30030.39</v>
      </c>
    </row>
    <row r="299" spans="1:4" x14ac:dyDescent="0.3">
      <c r="A299" s="2" t="s">
        <v>310</v>
      </c>
      <c r="B299" s="2" t="s">
        <v>14</v>
      </c>
      <c r="C299" s="6">
        <v>1.1299999999999999</v>
      </c>
      <c r="D299" s="7">
        <f t="shared" si="4"/>
        <v>29003.709999999995</v>
      </c>
    </row>
    <row r="300" spans="1:4" x14ac:dyDescent="0.3">
      <c r="A300" s="2" t="s">
        <v>311</v>
      </c>
      <c r="B300" s="2" t="s">
        <v>14</v>
      </c>
      <c r="C300" s="6">
        <v>1.49</v>
      </c>
      <c r="D300" s="7">
        <f t="shared" si="4"/>
        <v>38243.83</v>
      </c>
    </row>
    <row r="301" spans="1:4" x14ac:dyDescent="0.3">
      <c r="A301" s="2" t="s">
        <v>312</v>
      </c>
      <c r="B301" s="2" t="s">
        <v>12</v>
      </c>
      <c r="C301" s="6">
        <v>1.48</v>
      </c>
      <c r="D301" s="7">
        <f t="shared" si="4"/>
        <v>1602.08</v>
      </c>
    </row>
    <row r="302" spans="1:4" x14ac:dyDescent="0.3">
      <c r="A302" s="2" t="s">
        <v>313</v>
      </c>
      <c r="B302" s="2" t="s">
        <v>12</v>
      </c>
      <c r="C302" s="6">
        <v>1.05</v>
      </c>
      <c r="D302" s="7">
        <f t="shared" si="4"/>
        <v>1602.08</v>
      </c>
    </row>
    <row r="303" spans="1:4" x14ac:dyDescent="0.3">
      <c r="A303" s="2" t="s">
        <v>314</v>
      </c>
      <c r="B303" s="2" t="s">
        <v>12</v>
      </c>
      <c r="C303" s="6">
        <v>1.19</v>
      </c>
      <c r="D303" s="7">
        <f t="shared" si="4"/>
        <v>1602.08</v>
      </c>
    </row>
    <row r="304" spans="1:4" x14ac:dyDescent="0.3">
      <c r="A304" s="2" t="s">
        <v>315</v>
      </c>
      <c r="B304" s="2" t="s">
        <v>14</v>
      </c>
      <c r="C304" s="6">
        <v>1.73</v>
      </c>
      <c r="D304" s="7">
        <f t="shared" si="4"/>
        <v>44403.909999999996</v>
      </c>
    </row>
    <row r="305" spans="1:4" x14ac:dyDescent="0.3">
      <c r="A305" s="2" t="s">
        <v>316</v>
      </c>
      <c r="B305" s="2" t="s">
        <v>14</v>
      </c>
      <c r="C305" s="6">
        <v>1.58</v>
      </c>
      <c r="D305" s="7">
        <f t="shared" si="4"/>
        <v>40553.86</v>
      </c>
    </row>
    <row r="306" spans="1:4" x14ac:dyDescent="0.3">
      <c r="A306" s="2" t="s">
        <v>317</v>
      </c>
      <c r="B306" s="2" t="s">
        <v>14</v>
      </c>
      <c r="C306" s="6">
        <v>1.18</v>
      </c>
      <c r="D306" s="7">
        <f t="shared" si="4"/>
        <v>30287.059999999998</v>
      </c>
    </row>
    <row r="307" spans="1:4" x14ac:dyDescent="0.3">
      <c r="A307" s="2" t="s">
        <v>318</v>
      </c>
      <c r="B307" s="2" t="s">
        <v>12</v>
      </c>
      <c r="C307" s="6">
        <v>1.78</v>
      </c>
      <c r="D307" s="7">
        <f t="shared" si="4"/>
        <v>1602.08</v>
      </c>
    </row>
    <row r="308" spans="1:4" x14ac:dyDescent="0.3">
      <c r="A308" s="2" t="s">
        <v>319</v>
      </c>
      <c r="B308" s="2" t="s">
        <v>12</v>
      </c>
      <c r="C308" s="6">
        <v>1.86</v>
      </c>
      <c r="D308" s="7">
        <f t="shared" si="4"/>
        <v>1602.08</v>
      </c>
    </row>
    <row r="309" spans="1:4" x14ac:dyDescent="0.3">
      <c r="A309" s="2" t="s">
        <v>320</v>
      </c>
      <c r="B309" s="2" t="s">
        <v>12</v>
      </c>
      <c r="C309" s="6">
        <v>1.28</v>
      </c>
      <c r="D309" s="7">
        <f t="shared" si="4"/>
        <v>1602.08</v>
      </c>
    </row>
    <row r="310" spans="1:4" x14ac:dyDescent="0.3">
      <c r="A310" s="2" t="s">
        <v>321</v>
      </c>
      <c r="B310" s="2" t="s">
        <v>12</v>
      </c>
      <c r="C310" s="6">
        <v>1.95</v>
      </c>
      <c r="D310" s="7">
        <f t="shared" si="4"/>
        <v>1602.08</v>
      </c>
    </row>
    <row r="311" spans="1:4" x14ac:dyDescent="0.3">
      <c r="A311" s="2" t="s">
        <v>322</v>
      </c>
      <c r="B311" s="2" t="s">
        <v>14</v>
      </c>
      <c r="C311" s="6">
        <v>1.03</v>
      </c>
      <c r="D311" s="7">
        <f t="shared" si="4"/>
        <v>26437.010000000002</v>
      </c>
    </row>
    <row r="312" spans="1:4" x14ac:dyDescent="0.3">
      <c r="A312" s="2" t="s">
        <v>323</v>
      </c>
      <c r="B312" s="2" t="s">
        <v>12</v>
      </c>
      <c r="C312" s="6">
        <v>1.26</v>
      </c>
      <c r="D312" s="7">
        <f t="shared" si="4"/>
        <v>1602.08</v>
      </c>
    </row>
    <row r="313" spans="1:4" x14ac:dyDescent="0.3">
      <c r="A313" s="2" t="s">
        <v>324</v>
      </c>
      <c r="B313" s="2" t="s">
        <v>12</v>
      </c>
      <c r="C313" s="6">
        <v>1.2</v>
      </c>
      <c r="D313" s="7">
        <f t="shared" si="4"/>
        <v>1602.08</v>
      </c>
    </row>
    <row r="314" spans="1:4" x14ac:dyDescent="0.3">
      <c r="A314" s="2" t="s">
        <v>325</v>
      </c>
      <c r="B314" s="2" t="s">
        <v>12</v>
      </c>
      <c r="C314" s="6">
        <v>1.84</v>
      </c>
      <c r="D314" s="7">
        <f t="shared" si="4"/>
        <v>1602.08</v>
      </c>
    </row>
    <row r="315" spans="1:4" x14ac:dyDescent="0.3">
      <c r="A315" s="2" t="s">
        <v>326</v>
      </c>
      <c r="B315" s="2" t="s">
        <v>14</v>
      </c>
      <c r="C315" s="6">
        <v>1.1100000000000001</v>
      </c>
      <c r="D315" s="7">
        <f t="shared" si="4"/>
        <v>28490.370000000003</v>
      </c>
    </row>
    <row r="316" spans="1:4" x14ac:dyDescent="0.3">
      <c r="A316" s="2" t="s">
        <v>327</v>
      </c>
      <c r="B316" s="2" t="s">
        <v>12</v>
      </c>
      <c r="C316" s="6">
        <v>1.47</v>
      </c>
      <c r="D316" s="7">
        <f t="shared" si="4"/>
        <v>1602.08</v>
      </c>
    </row>
    <row r="317" spans="1:4" x14ac:dyDescent="0.3">
      <c r="A317" s="2" t="s">
        <v>328</v>
      </c>
      <c r="B317" s="2" t="s">
        <v>14</v>
      </c>
      <c r="C317" s="6">
        <v>1.4</v>
      </c>
      <c r="D317" s="7">
        <f t="shared" si="4"/>
        <v>35933.799999999996</v>
      </c>
    </row>
    <row r="318" spans="1:4" x14ac:dyDescent="0.3">
      <c r="A318" s="2" t="s">
        <v>329</v>
      </c>
      <c r="B318" s="2" t="s">
        <v>12</v>
      </c>
      <c r="C318" s="6">
        <v>1.84</v>
      </c>
      <c r="D318" s="7">
        <f t="shared" si="4"/>
        <v>1602.08</v>
      </c>
    </row>
    <row r="319" spans="1:4" x14ac:dyDescent="0.3">
      <c r="A319" s="2" t="s">
        <v>330</v>
      </c>
      <c r="B319" s="2" t="s">
        <v>14</v>
      </c>
      <c r="C319" s="6">
        <v>1.03</v>
      </c>
      <c r="D319" s="7">
        <f t="shared" si="4"/>
        <v>26437.010000000002</v>
      </c>
    </row>
    <row r="320" spans="1:4" x14ac:dyDescent="0.3">
      <c r="A320" s="2" t="s">
        <v>331</v>
      </c>
      <c r="B320" s="2" t="s">
        <v>14</v>
      </c>
      <c r="C320" s="6">
        <v>1.97</v>
      </c>
      <c r="D320" s="7">
        <f t="shared" si="4"/>
        <v>50563.99</v>
      </c>
    </row>
    <row r="321" spans="1:4" x14ac:dyDescent="0.3">
      <c r="A321" s="2" t="s">
        <v>332</v>
      </c>
      <c r="B321" s="2" t="s">
        <v>12</v>
      </c>
      <c r="C321" s="6">
        <v>1.51</v>
      </c>
      <c r="D321" s="7">
        <f t="shared" si="4"/>
        <v>1602.08</v>
      </c>
    </row>
    <row r="322" spans="1:4" x14ac:dyDescent="0.3">
      <c r="A322" s="2" t="s">
        <v>333</v>
      </c>
      <c r="B322" s="2" t="s">
        <v>12</v>
      </c>
      <c r="C322" s="6">
        <v>1.62</v>
      </c>
      <c r="D322" s="7">
        <f t="shared" si="4"/>
        <v>1602.08</v>
      </c>
    </row>
    <row r="323" spans="1:4" x14ac:dyDescent="0.3">
      <c r="A323" s="2" t="s">
        <v>334</v>
      </c>
      <c r="B323" s="2" t="s">
        <v>12</v>
      </c>
      <c r="C323" s="6">
        <v>1.31</v>
      </c>
      <c r="D323" s="7">
        <f t="shared" ref="D323:D386" si="5">IF(B323=$G$2,C323*$H$2,$H$3)</f>
        <v>1602.08</v>
      </c>
    </row>
    <row r="324" spans="1:4" x14ac:dyDescent="0.3">
      <c r="A324" s="2" t="s">
        <v>335</v>
      </c>
      <c r="B324" s="2" t="s">
        <v>12</v>
      </c>
      <c r="C324" s="6">
        <v>1.83</v>
      </c>
      <c r="D324" s="7">
        <f t="shared" si="5"/>
        <v>1602.08</v>
      </c>
    </row>
    <row r="325" spans="1:4" x14ac:dyDescent="0.3">
      <c r="A325" s="2" t="s">
        <v>336</v>
      </c>
      <c r="B325" s="2" t="s">
        <v>14</v>
      </c>
      <c r="C325" s="6">
        <v>1.56</v>
      </c>
      <c r="D325" s="7">
        <f t="shared" si="5"/>
        <v>40040.520000000004</v>
      </c>
    </row>
    <row r="326" spans="1:4" x14ac:dyDescent="0.3">
      <c r="A326" s="2" t="s">
        <v>337</v>
      </c>
      <c r="B326" s="2" t="s">
        <v>14</v>
      </c>
      <c r="C326" s="6">
        <v>1.2</v>
      </c>
      <c r="D326" s="7">
        <f t="shared" si="5"/>
        <v>30800.399999999998</v>
      </c>
    </row>
    <row r="327" spans="1:4" x14ac:dyDescent="0.3">
      <c r="A327" s="2" t="s">
        <v>338</v>
      </c>
      <c r="B327" s="2" t="s">
        <v>14</v>
      </c>
      <c r="C327" s="6">
        <v>1.42</v>
      </c>
      <c r="D327" s="7">
        <f t="shared" si="5"/>
        <v>36447.14</v>
      </c>
    </row>
    <row r="328" spans="1:4" x14ac:dyDescent="0.3">
      <c r="A328" s="2" t="s">
        <v>339</v>
      </c>
      <c r="B328" s="2" t="s">
        <v>12</v>
      </c>
      <c r="C328" s="6">
        <v>1.77</v>
      </c>
      <c r="D328" s="7">
        <f t="shared" si="5"/>
        <v>1602.08</v>
      </c>
    </row>
    <row r="329" spans="1:4" x14ac:dyDescent="0.3">
      <c r="A329" s="2" t="s">
        <v>340</v>
      </c>
      <c r="B329" s="2" t="s">
        <v>12</v>
      </c>
      <c r="C329" s="6">
        <v>1.81</v>
      </c>
      <c r="D329" s="7">
        <f t="shared" si="5"/>
        <v>1602.08</v>
      </c>
    </row>
    <row r="330" spans="1:4" x14ac:dyDescent="0.3">
      <c r="A330" s="2" t="s">
        <v>341</v>
      </c>
      <c r="B330" s="2" t="s">
        <v>12</v>
      </c>
      <c r="C330" s="6">
        <v>1.61</v>
      </c>
      <c r="D330" s="7">
        <f t="shared" si="5"/>
        <v>1602.08</v>
      </c>
    </row>
    <row r="331" spans="1:4" x14ac:dyDescent="0.3">
      <c r="A331" s="2" t="s">
        <v>342</v>
      </c>
      <c r="B331" s="2" t="s">
        <v>12</v>
      </c>
      <c r="C331" s="6">
        <v>1.1100000000000001</v>
      </c>
      <c r="D331" s="7">
        <f t="shared" si="5"/>
        <v>1602.08</v>
      </c>
    </row>
    <row r="332" spans="1:4" x14ac:dyDescent="0.3">
      <c r="A332" s="2" t="s">
        <v>343</v>
      </c>
      <c r="B332" s="2" t="s">
        <v>12</v>
      </c>
      <c r="C332" s="6">
        <v>1.77</v>
      </c>
      <c r="D332" s="7">
        <f t="shared" si="5"/>
        <v>1602.08</v>
      </c>
    </row>
    <row r="333" spans="1:4" x14ac:dyDescent="0.3">
      <c r="A333" s="2" t="s">
        <v>344</v>
      </c>
      <c r="B333" s="2" t="s">
        <v>12</v>
      </c>
      <c r="C333" s="6">
        <v>1.53</v>
      </c>
      <c r="D333" s="7">
        <f t="shared" si="5"/>
        <v>1602.08</v>
      </c>
    </row>
    <row r="334" spans="1:4" x14ac:dyDescent="0.3">
      <c r="A334" s="2" t="s">
        <v>345</v>
      </c>
      <c r="B334" s="2" t="s">
        <v>12</v>
      </c>
      <c r="C334" s="6">
        <v>1.27</v>
      </c>
      <c r="D334" s="7">
        <f t="shared" si="5"/>
        <v>1602.08</v>
      </c>
    </row>
    <row r="335" spans="1:4" x14ac:dyDescent="0.3">
      <c r="A335" s="2" t="s">
        <v>346</v>
      </c>
      <c r="B335" s="2" t="s">
        <v>12</v>
      </c>
      <c r="C335" s="6">
        <v>1.21</v>
      </c>
      <c r="D335" s="7">
        <f t="shared" si="5"/>
        <v>1602.08</v>
      </c>
    </row>
    <row r="336" spans="1:4" x14ac:dyDescent="0.3">
      <c r="A336" s="2" t="s">
        <v>347</v>
      </c>
      <c r="B336" s="2" t="s">
        <v>12</v>
      </c>
      <c r="C336" s="6">
        <v>1.1299999999999999</v>
      </c>
      <c r="D336" s="7">
        <f t="shared" si="5"/>
        <v>1602.08</v>
      </c>
    </row>
    <row r="337" spans="1:4" x14ac:dyDescent="0.3">
      <c r="A337" s="2" t="s">
        <v>348</v>
      </c>
      <c r="B337" s="2" t="s">
        <v>12</v>
      </c>
      <c r="C337" s="6">
        <v>1.6</v>
      </c>
      <c r="D337" s="7">
        <f t="shared" si="5"/>
        <v>1602.08</v>
      </c>
    </row>
    <row r="338" spans="1:4" x14ac:dyDescent="0.3">
      <c r="A338" s="2" t="s">
        <v>349</v>
      </c>
      <c r="B338" s="2" t="s">
        <v>12</v>
      </c>
      <c r="C338" s="6">
        <v>1.7</v>
      </c>
      <c r="D338" s="7">
        <f t="shared" si="5"/>
        <v>1602.08</v>
      </c>
    </row>
    <row r="339" spans="1:4" x14ac:dyDescent="0.3">
      <c r="A339" s="2" t="s">
        <v>350</v>
      </c>
      <c r="B339" s="2" t="s">
        <v>12</v>
      </c>
      <c r="C339" s="6">
        <v>1.25</v>
      </c>
      <c r="D339" s="7">
        <f t="shared" si="5"/>
        <v>1602.08</v>
      </c>
    </row>
    <row r="340" spans="1:4" x14ac:dyDescent="0.3">
      <c r="A340" s="2" t="s">
        <v>351</v>
      </c>
      <c r="B340" s="2" t="s">
        <v>14</v>
      </c>
      <c r="C340" s="6">
        <v>1.28</v>
      </c>
      <c r="D340" s="7">
        <f t="shared" si="5"/>
        <v>32853.760000000002</v>
      </c>
    </row>
    <row r="341" spans="1:4" x14ac:dyDescent="0.3">
      <c r="A341" s="2" t="s">
        <v>352</v>
      </c>
      <c r="B341" s="2" t="s">
        <v>14</v>
      </c>
      <c r="C341" s="6">
        <v>1.62</v>
      </c>
      <c r="D341" s="7">
        <f t="shared" si="5"/>
        <v>41580.54</v>
      </c>
    </row>
    <row r="342" spans="1:4" x14ac:dyDescent="0.3">
      <c r="A342" s="2" t="s">
        <v>353</v>
      </c>
      <c r="B342" s="2" t="s">
        <v>12</v>
      </c>
      <c r="C342" s="6">
        <v>1.1000000000000001</v>
      </c>
      <c r="D342" s="7">
        <f t="shared" si="5"/>
        <v>1602.08</v>
      </c>
    </row>
    <row r="343" spans="1:4" x14ac:dyDescent="0.3">
      <c r="A343" s="2" t="s">
        <v>354</v>
      </c>
      <c r="B343" s="2" t="s">
        <v>14</v>
      </c>
      <c r="C343" s="6">
        <v>1.49</v>
      </c>
      <c r="D343" s="7">
        <f t="shared" si="5"/>
        <v>38243.83</v>
      </c>
    </row>
    <row r="344" spans="1:4" x14ac:dyDescent="0.3">
      <c r="A344" s="2" t="s">
        <v>355</v>
      </c>
      <c r="B344" s="2" t="s">
        <v>12</v>
      </c>
      <c r="C344" s="6">
        <v>1.02</v>
      </c>
      <c r="D344" s="7">
        <f t="shared" si="5"/>
        <v>1602.08</v>
      </c>
    </row>
    <row r="345" spans="1:4" x14ac:dyDescent="0.3">
      <c r="A345" s="2" t="s">
        <v>356</v>
      </c>
      <c r="B345" s="2" t="s">
        <v>14</v>
      </c>
      <c r="C345" s="6">
        <v>1.1499999999999999</v>
      </c>
      <c r="D345" s="7">
        <f t="shared" si="5"/>
        <v>29517.05</v>
      </c>
    </row>
    <row r="346" spans="1:4" x14ac:dyDescent="0.3">
      <c r="A346" s="2" t="s">
        <v>357</v>
      </c>
      <c r="B346" s="2" t="s">
        <v>14</v>
      </c>
      <c r="C346" s="6">
        <v>1.58</v>
      </c>
      <c r="D346" s="7">
        <f t="shared" si="5"/>
        <v>40553.86</v>
      </c>
    </row>
    <row r="347" spans="1:4" x14ac:dyDescent="0.3">
      <c r="A347" s="2" t="s">
        <v>358</v>
      </c>
      <c r="B347" s="2" t="s">
        <v>14</v>
      </c>
      <c r="C347" s="6">
        <v>1.4</v>
      </c>
      <c r="D347" s="7">
        <f t="shared" si="5"/>
        <v>35933.799999999996</v>
      </c>
    </row>
    <row r="348" spans="1:4" x14ac:dyDescent="0.3">
      <c r="A348" s="2" t="s">
        <v>359</v>
      </c>
      <c r="B348" s="2" t="s">
        <v>14</v>
      </c>
      <c r="C348" s="6">
        <v>1.01</v>
      </c>
      <c r="D348" s="7">
        <f t="shared" si="5"/>
        <v>25923.670000000002</v>
      </c>
    </row>
    <row r="349" spans="1:4" x14ac:dyDescent="0.3">
      <c r="A349" s="2" t="s">
        <v>360</v>
      </c>
      <c r="B349" s="2" t="s">
        <v>12</v>
      </c>
      <c r="C349" s="6">
        <v>1.81</v>
      </c>
      <c r="D349" s="7">
        <f t="shared" si="5"/>
        <v>1602.08</v>
      </c>
    </row>
    <row r="350" spans="1:4" x14ac:dyDescent="0.3">
      <c r="A350" s="2" t="s">
        <v>361</v>
      </c>
      <c r="B350" s="2" t="s">
        <v>12</v>
      </c>
      <c r="C350" s="6">
        <v>1.1100000000000001</v>
      </c>
      <c r="D350" s="7">
        <f t="shared" si="5"/>
        <v>1602.08</v>
      </c>
    </row>
    <row r="351" spans="1:4" x14ac:dyDescent="0.3">
      <c r="A351" s="2" t="s">
        <v>362</v>
      </c>
      <c r="B351" s="2" t="s">
        <v>12</v>
      </c>
      <c r="C351" s="6">
        <v>1</v>
      </c>
      <c r="D351" s="7">
        <f t="shared" si="5"/>
        <v>1602.08</v>
      </c>
    </row>
    <row r="352" spans="1:4" x14ac:dyDescent="0.3">
      <c r="A352" s="2" t="s">
        <v>363</v>
      </c>
      <c r="B352" s="2" t="s">
        <v>12</v>
      </c>
      <c r="C352" s="6">
        <v>1.18</v>
      </c>
      <c r="D352" s="7">
        <f t="shared" si="5"/>
        <v>1602.08</v>
      </c>
    </row>
    <row r="353" spans="1:4" x14ac:dyDescent="0.3">
      <c r="A353" s="2" t="s">
        <v>364</v>
      </c>
      <c r="B353" s="2" t="s">
        <v>14</v>
      </c>
      <c r="C353" s="6">
        <v>1.24</v>
      </c>
      <c r="D353" s="7">
        <f t="shared" si="5"/>
        <v>31827.079999999998</v>
      </c>
    </row>
    <row r="354" spans="1:4" x14ac:dyDescent="0.3">
      <c r="A354" s="2" t="s">
        <v>365</v>
      </c>
      <c r="B354" s="2" t="s">
        <v>12</v>
      </c>
      <c r="C354" s="6">
        <v>1.61</v>
      </c>
      <c r="D354" s="7">
        <f t="shared" si="5"/>
        <v>1602.08</v>
      </c>
    </row>
    <row r="355" spans="1:4" x14ac:dyDescent="0.3">
      <c r="A355" s="2" t="s">
        <v>366</v>
      </c>
      <c r="B355" s="2" t="s">
        <v>14</v>
      </c>
      <c r="C355" s="6">
        <v>1.91</v>
      </c>
      <c r="D355" s="7">
        <f t="shared" si="5"/>
        <v>49023.97</v>
      </c>
    </row>
    <row r="356" spans="1:4" x14ac:dyDescent="0.3">
      <c r="A356" s="2" t="s">
        <v>367</v>
      </c>
      <c r="B356" s="2" t="s">
        <v>12</v>
      </c>
      <c r="C356" s="6">
        <v>2</v>
      </c>
      <c r="D356" s="7">
        <f t="shared" si="5"/>
        <v>1602.08</v>
      </c>
    </row>
    <row r="357" spans="1:4" x14ac:dyDescent="0.3">
      <c r="A357" s="2" t="s">
        <v>368</v>
      </c>
      <c r="B357" s="2" t="s">
        <v>14</v>
      </c>
      <c r="C357" s="6">
        <v>1.84</v>
      </c>
      <c r="D357" s="7">
        <f t="shared" si="5"/>
        <v>47227.28</v>
      </c>
    </row>
    <row r="358" spans="1:4" x14ac:dyDescent="0.3">
      <c r="A358" s="2" t="s">
        <v>369</v>
      </c>
      <c r="B358" s="2" t="s">
        <v>12</v>
      </c>
      <c r="C358" s="6">
        <v>1.71</v>
      </c>
      <c r="D358" s="7">
        <f t="shared" si="5"/>
        <v>1602.08</v>
      </c>
    </row>
    <row r="359" spans="1:4" x14ac:dyDescent="0.3">
      <c r="A359" s="2" t="s">
        <v>370</v>
      </c>
      <c r="B359" s="2" t="s">
        <v>14</v>
      </c>
      <c r="C359" s="6">
        <v>1.36</v>
      </c>
      <c r="D359" s="7">
        <f t="shared" si="5"/>
        <v>34907.120000000003</v>
      </c>
    </row>
    <row r="360" spans="1:4" x14ac:dyDescent="0.3">
      <c r="A360" s="2" t="s">
        <v>371</v>
      </c>
      <c r="B360" s="2" t="s">
        <v>14</v>
      </c>
      <c r="C360" s="6">
        <v>1.02</v>
      </c>
      <c r="D360" s="7">
        <f t="shared" si="5"/>
        <v>26180.34</v>
      </c>
    </row>
    <row r="361" spans="1:4" x14ac:dyDescent="0.3">
      <c r="A361" s="2" t="s">
        <v>372</v>
      </c>
      <c r="B361" s="2" t="s">
        <v>12</v>
      </c>
      <c r="C361" s="6">
        <v>1.02</v>
      </c>
      <c r="D361" s="7">
        <f t="shared" si="5"/>
        <v>1602.08</v>
      </c>
    </row>
    <row r="362" spans="1:4" x14ac:dyDescent="0.3">
      <c r="A362" s="2" t="s">
        <v>373</v>
      </c>
      <c r="B362" s="2" t="s">
        <v>14</v>
      </c>
      <c r="C362" s="6">
        <v>1.02</v>
      </c>
      <c r="D362" s="7">
        <f t="shared" si="5"/>
        <v>26180.34</v>
      </c>
    </row>
    <row r="363" spans="1:4" x14ac:dyDescent="0.3">
      <c r="A363" s="2" t="s">
        <v>374</v>
      </c>
      <c r="B363" s="2" t="s">
        <v>12</v>
      </c>
      <c r="C363" s="6">
        <v>1.45</v>
      </c>
      <c r="D363" s="7">
        <f t="shared" si="5"/>
        <v>1602.08</v>
      </c>
    </row>
    <row r="364" spans="1:4" x14ac:dyDescent="0.3">
      <c r="A364" s="2" t="s">
        <v>375</v>
      </c>
      <c r="B364" s="2" t="s">
        <v>14</v>
      </c>
      <c r="C364" s="6">
        <v>1.03</v>
      </c>
      <c r="D364" s="7">
        <f t="shared" si="5"/>
        <v>26437.010000000002</v>
      </c>
    </row>
    <row r="365" spans="1:4" x14ac:dyDescent="0.3">
      <c r="A365" s="2" t="s">
        <v>376</v>
      </c>
      <c r="B365" s="2" t="s">
        <v>14</v>
      </c>
      <c r="C365" s="6">
        <v>1.78</v>
      </c>
      <c r="D365" s="7">
        <f t="shared" si="5"/>
        <v>45687.26</v>
      </c>
    </row>
    <row r="366" spans="1:4" x14ac:dyDescent="0.3">
      <c r="A366" s="2" t="s">
        <v>377</v>
      </c>
      <c r="B366" s="2" t="s">
        <v>14</v>
      </c>
      <c r="C366" s="6">
        <v>1.31</v>
      </c>
      <c r="D366" s="7">
        <f t="shared" si="5"/>
        <v>33623.770000000004</v>
      </c>
    </row>
    <row r="367" spans="1:4" x14ac:dyDescent="0.3">
      <c r="A367" s="2" t="s">
        <v>378</v>
      </c>
      <c r="B367" s="2" t="s">
        <v>14</v>
      </c>
      <c r="C367" s="6">
        <v>1.92</v>
      </c>
      <c r="D367" s="7">
        <f t="shared" si="5"/>
        <v>49280.639999999999</v>
      </c>
    </row>
    <row r="368" spans="1:4" x14ac:dyDescent="0.3">
      <c r="A368" s="2" t="s">
        <v>379</v>
      </c>
      <c r="B368" s="2" t="s">
        <v>12</v>
      </c>
      <c r="C368" s="6">
        <v>1.43</v>
      </c>
      <c r="D368" s="7">
        <f t="shared" si="5"/>
        <v>1602.08</v>
      </c>
    </row>
    <row r="369" spans="1:4" x14ac:dyDescent="0.3">
      <c r="A369" s="2" t="s">
        <v>380</v>
      </c>
      <c r="B369" s="2" t="s">
        <v>14</v>
      </c>
      <c r="C369" s="6">
        <v>1.26</v>
      </c>
      <c r="D369" s="7">
        <f t="shared" si="5"/>
        <v>32340.420000000002</v>
      </c>
    </row>
    <row r="370" spans="1:4" x14ac:dyDescent="0.3">
      <c r="A370" s="2" t="s">
        <v>381</v>
      </c>
      <c r="B370" s="2" t="s">
        <v>14</v>
      </c>
      <c r="C370" s="6">
        <v>1.37</v>
      </c>
      <c r="D370" s="7">
        <f t="shared" si="5"/>
        <v>35163.79</v>
      </c>
    </row>
    <row r="371" spans="1:4" x14ac:dyDescent="0.3">
      <c r="A371" s="2" t="s">
        <v>382</v>
      </c>
      <c r="B371" s="2" t="s">
        <v>14</v>
      </c>
      <c r="C371" s="6">
        <v>1.82</v>
      </c>
      <c r="D371" s="7">
        <f t="shared" si="5"/>
        <v>46713.94</v>
      </c>
    </row>
    <row r="372" spans="1:4" x14ac:dyDescent="0.3">
      <c r="A372" s="2" t="s">
        <v>383</v>
      </c>
      <c r="B372" s="2" t="s">
        <v>14</v>
      </c>
      <c r="C372" s="6">
        <v>1.1599999999999999</v>
      </c>
      <c r="D372" s="7">
        <f t="shared" si="5"/>
        <v>29773.719999999998</v>
      </c>
    </row>
    <row r="373" spans="1:4" x14ac:dyDescent="0.3">
      <c r="A373" s="2" t="s">
        <v>384</v>
      </c>
      <c r="B373" s="2" t="s">
        <v>12</v>
      </c>
      <c r="C373" s="6">
        <v>1.94</v>
      </c>
      <c r="D373" s="7">
        <f t="shared" si="5"/>
        <v>1602.08</v>
      </c>
    </row>
    <row r="374" spans="1:4" x14ac:dyDescent="0.3">
      <c r="A374" s="2" t="s">
        <v>385</v>
      </c>
      <c r="B374" s="2" t="s">
        <v>14</v>
      </c>
      <c r="C374" s="6">
        <v>1.42</v>
      </c>
      <c r="D374" s="7">
        <f t="shared" si="5"/>
        <v>36447.14</v>
      </c>
    </row>
    <row r="375" spans="1:4" x14ac:dyDescent="0.3">
      <c r="A375" s="2" t="s">
        <v>386</v>
      </c>
      <c r="B375" s="2" t="s">
        <v>12</v>
      </c>
      <c r="C375" s="6">
        <v>1.26</v>
      </c>
      <c r="D375" s="7">
        <f t="shared" si="5"/>
        <v>1602.08</v>
      </c>
    </row>
    <row r="376" spans="1:4" x14ac:dyDescent="0.3">
      <c r="A376" s="2" t="s">
        <v>387</v>
      </c>
      <c r="B376" s="2" t="s">
        <v>12</v>
      </c>
      <c r="C376" s="6">
        <v>1.41</v>
      </c>
      <c r="D376" s="7">
        <f t="shared" si="5"/>
        <v>1602.08</v>
      </c>
    </row>
    <row r="377" spans="1:4" x14ac:dyDescent="0.3">
      <c r="A377" s="2" t="s">
        <v>388</v>
      </c>
      <c r="B377" s="2" t="s">
        <v>12</v>
      </c>
      <c r="C377" s="6">
        <v>1.6</v>
      </c>
      <c r="D377" s="7">
        <f t="shared" si="5"/>
        <v>1602.08</v>
      </c>
    </row>
    <row r="378" spans="1:4" x14ac:dyDescent="0.3">
      <c r="A378" s="2" t="s">
        <v>389</v>
      </c>
      <c r="B378" s="2" t="s">
        <v>12</v>
      </c>
      <c r="C378" s="6">
        <v>1.01</v>
      </c>
      <c r="D378" s="7">
        <f t="shared" si="5"/>
        <v>1602.08</v>
      </c>
    </row>
    <row r="379" spans="1:4" x14ac:dyDescent="0.3">
      <c r="A379" s="2" t="s">
        <v>390</v>
      </c>
      <c r="B379" s="2" t="s">
        <v>14</v>
      </c>
      <c r="C379" s="6">
        <v>1.98</v>
      </c>
      <c r="D379" s="7">
        <f t="shared" si="5"/>
        <v>50820.659999999996</v>
      </c>
    </row>
    <row r="380" spans="1:4" x14ac:dyDescent="0.3">
      <c r="A380" s="2" t="s">
        <v>391</v>
      </c>
      <c r="B380" s="2" t="s">
        <v>14</v>
      </c>
      <c r="C380" s="6">
        <v>1.1000000000000001</v>
      </c>
      <c r="D380" s="7">
        <f t="shared" si="5"/>
        <v>28233.7</v>
      </c>
    </row>
    <row r="381" spans="1:4" x14ac:dyDescent="0.3">
      <c r="A381" s="2" t="s">
        <v>392</v>
      </c>
      <c r="B381" s="2" t="s">
        <v>14</v>
      </c>
      <c r="C381" s="6">
        <v>1.18</v>
      </c>
      <c r="D381" s="7">
        <f t="shared" si="5"/>
        <v>30287.059999999998</v>
      </c>
    </row>
    <row r="382" spans="1:4" x14ac:dyDescent="0.3">
      <c r="A382" s="2" t="s">
        <v>393</v>
      </c>
      <c r="B382" s="2" t="s">
        <v>12</v>
      </c>
      <c r="C382" s="6">
        <v>1.37</v>
      </c>
      <c r="D382" s="7">
        <f t="shared" si="5"/>
        <v>1602.08</v>
      </c>
    </row>
    <row r="383" spans="1:4" x14ac:dyDescent="0.3">
      <c r="A383" s="2" t="s">
        <v>394</v>
      </c>
      <c r="B383" s="2" t="s">
        <v>12</v>
      </c>
      <c r="C383" s="6">
        <v>1.98</v>
      </c>
      <c r="D383" s="7">
        <f t="shared" si="5"/>
        <v>1602.08</v>
      </c>
    </row>
    <row r="384" spans="1:4" x14ac:dyDescent="0.3">
      <c r="A384" s="2" t="s">
        <v>395</v>
      </c>
      <c r="B384" s="2" t="s">
        <v>12</v>
      </c>
      <c r="C384" s="6">
        <v>1.58</v>
      </c>
      <c r="D384" s="7">
        <f t="shared" si="5"/>
        <v>1602.08</v>
      </c>
    </row>
    <row r="385" spans="1:4" x14ac:dyDescent="0.3">
      <c r="A385" s="2" t="s">
        <v>396</v>
      </c>
      <c r="B385" s="2" t="s">
        <v>14</v>
      </c>
      <c r="C385" s="6">
        <v>1.99</v>
      </c>
      <c r="D385" s="7">
        <f t="shared" si="5"/>
        <v>51077.33</v>
      </c>
    </row>
    <row r="386" spans="1:4" x14ac:dyDescent="0.3">
      <c r="A386" s="2" t="s">
        <v>397</v>
      </c>
      <c r="B386" s="2" t="s">
        <v>14</v>
      </c>
      <c r="C386" s="6">
        <v>1.41</v>
      </c>
      <c r="D386" s="7">
        <f t="shared" si="5"/>
        <v>36190.47</v>
      </c>
    </row>
    <row r="387" spans="1:4" x14ac:dyDescent="0.3">
      <c r="A387" s="2" t="s">
        <v>398</v>
      </c>
      <c r="B387" s="2" t="s">
        <v>12</v>
      </c>
      <c r="C387" s="6">
        <v>1.5</v>
      </c>
      <c r="D387" s="7">
        <f t="shared" ref="D387:D450" si="6">IF(B387=$G$2,C387*$H$2,$H$3)</f>
        <v>1602.08</v>
      </c>
    </row>
    <row r="388" spans="1:4" x14ac:dyDescent="0.3">
      <c r="A388" s="2" t="s">
        <v>399</v>
      </c>
      <c r="B388" s="2" t="s">
        <v>12</v>
      </c>
      <c r="C388" s="6">
        <v>1.87</v>
      </c>
      <c r="D388" s="7">
        <f t="shared" si="6"/>
        <v>1602.08</v>
      </c>
    </row>
    <row r="389" spans="1:4" x14ac:dyDescent="0.3">
      <c r="A389" s="2" t="s">
        <v>400</v>
      </c>
      <c r="B389" s="2" t="s">
        <v>12</v>
      </c>
      <c r="C389" s="6">
        <v>1.51</v>
      </c>
      <c r="D389" s="7">
        <f t="shared" si="6"/>
        <v>1602.08</v>
      </c>
    </row>
    <row r="390" spans="1:4" x14ac:dyDescent="0.3">
      <c r="A390" s="2" t="s">
        <v>401</v>
      </c>
      <c r="B390" s="2" t="s">
        <v>12</v>
      </c>
      <c r="C390" s="6">
        <v>1.46</v>
      </c>
      <c r="D390" s="7">
        <f t="shared" si="6"/>
        <v>1602.08</v>
      </c>
    </row>
    <row r="391" spans="1:4" x14ac:dyDescent="0.3">
      <c r="A391" s="2" t="s">
        <v>402</v>
      </c>
      <c r="B391" s="2" t="s">
        <v>14</v>
      </c>
      <c r="C391" s="6">
        <v>1.46</v>
      </c>
      <c r="D391" s="7">
        <f t="shared" si="6"/>
        <v>37473.82</v>
      </c>
    </row>
    <row r="392" spans="1:4" x14ac:dyDescent="0.3">
      <c r="A392" s="2" t="s">
        <v>403</v>
      </c>
      <c r="B392" s="2" t="s">
        <v>12</v>
      </c>
      <c r="C392" s="6">
        <v>1.63</v>
      </c>
      <c r="D392" s="7">
        <f t="shared" si="6"/>
        <v>1602.08</v>
      </c>
    </row>
    <row r="393" spans="1:4" x14ac:dyDescent="0.3">
      <c r="A393" s="2" t="s">
        <v>404</v>
      </c>
      <c r="B393" s="2" t="s">
        <v>14</v>
      </c>
      <c r="C393" s="6">
        <v>1.66</v>
      </c>
      <c r="D393" s="7">
        <f t="shared" si="6"/>
        <v>42607.22</v>
      </c>
    </row>
    <row r="394" spans="1:4" x14ac:dyDescent="0.3">
      <c r="A394" s="2" t="s">
        <v>405</v>
      </c>
      <c r="B394" s="2" t="s">
        <v>12</v>
      </c>
      <c r="C394" s="6">
        <v>1.05</v>
      </c>
      <c r="D394" s="7">
        <f t="shared" si="6"/>
        <v>1602.08</v>
      </c>
    </row>
    <row r="395" spans="1:4" x14ac:dyDescent="0.3">
      <c r="A395" s="2" t="s">
        <v>406</v>
      </c>
      <c r="B395" s="2" t="s">
        <v>12</v>
      </c>
      <c r="C395" s="6">
        <v>1.6</v>
      </c>
      <c r="D395" s="7">
        <f t="shared" si="6"/>
        <v>1602.08</v>
      </c>
    </row>
    <row r="396" spans="1:4" x14ac:dyDescent="0.3">
      <c r="A396" s="2" t="s">
        <v>407</v>
      </c>
      <c r="B396" s="2" t="s">
        <v>14</v>
      </c>
      <c r="C396" s="6">
        <v>1.38</v>
      </c>
      <c r="D396" s="7">
        <f t="shared" si="6"/>
        <v>35420.46</v>
      </c>
    </row>
    <row r="397" spans="1:4" x14ac:dyDescent="0.3">
      <c r="A397" s="2" t="s">
        <v>408</v>
      </c>
      <c r="B397" s="2" t="s">
        <v>12</v>
      </c>
      <c r="C397" s="6">
        <v>1.5</v>
      </c>
      <c r="D397" s="7">
        <f t="shared" si="6"/>
        <v>1602.08</v>
      </c>
    </row>
    <row r="398" spans="1:4" x14ac:dyDescent="0.3">
      <c r="A398" s="2" t="s">
        <v>409</v>
      </c>
      <c r="B398" s="2" t="s">
        <v>12</v>
      </c>
      <c r="C398" s="6">
        <v>1.71</v>
      </c>
      <c r="D398" s="7">
        <f t="shared" si="6"/>
        <v>1602.08</v>
      </c>
    </row>
    <row r="399" spans="1:4" x14ac:dyDescent="0.3">
      <c r="A399" s="2" t="s">
        <v>410</v>
      </c>
      <c r="B399" s="2" t="s">
        <v>12</v>
      </c>
      <c r="C399" s="6">
        <v>1.97</v>
      </c>
      <c r="D399" s="7">
        <f t="shared" si="6"/>
        <v>1602.08</v>
      </c>
    </row>
    <row r="400" spans="1:4" x14ac:dyDescent="0.3">
      <c r="A400" s="2" t="s">
        <v>411</v>
      </c>
      <c r="B400" s="2" t="s">
        <v>12</v>
      </c>
      <c r="C400" s="6">
        <v>1.07</v>
      </c>
      <c r="D400" s="7">
        <f t="shared" si="6"/>
        <v>1602.08</v>
      </c>
    </row>
    <row r="401" spans="1:4" x14ac:dyDescent="0.3">
      <c r="A401" s="2" t="s">
        <v>412</v>
      </c>
      <c r="B401" s="2" t="s">
        <v>14</v>
      </c>
      <c r="C401" s="6">
        <v>1.1000000000000001</v>
      </c>
      <c r="D401" s="7">
        <f t="shared" si="6"/>
        <v>28233.7</v>
      </c>
    </row>
    <row r="402" spans="1:4" x14ac:dyDescent="0.3">
      <c r="A402" s="2" t="s">
        <v>413</v>
      </c>
      <c r="B402" s="2" t="s">
        <v>12</v>
      </c>
      <c r="C402" s="6">
        <v>1.42</v>
      </c>
      <c r="D402" s="7">
        <f t="shared" si="6"/>
        <v>1602.08</v>
      </c>
    </row>
    <row r="403" spans="1:4" x14ac:dyDescent="0.3">
      <c r="A403" s="2" t="s">
        <v>414</v>
      </c>
      <c r="B403" s="2" t="s">
        <v>14</v>
      </c>
      <c r="C403" s="6">
        <v>1.25</v>
      </c>
      <c r="D403" s="7">
        <f t="shared" si="6"/>
        <v>32083.75</v>
      </c>
    </row>
    <row r="404" spans="1:4" x14ac:dyDescent="0.3">
      <c r="A404" s="2" t="s">
        <v>415</v>
      </c>
      <c r="B404" s="2" t="s">
        <v>12</v>
      </c>
      <c r="C404" s="6">
        <v>1.1200000000000001</v>
      </c>
      <c r="D404" s="7">
        <f t="shared" si="6"/>
        <v>1602.08</v>
      </c>
    </row>
    <row r="405" spans="1:4" x14ac:dyDescent="0.3">
      <c r="A405" s="2" t="s">
        <v>416</v>
      </c>
      <c r="B405" s="2" t="s">
        <v>12</v>
      </c>
      <c r="C405" s="6">
        <v>1.1599999999999999</v>
      </c>
      <c r="D405" s="7">
        <f t="shared" si="6"/>
        <v>1602.08</v>
      </c>
    </row>
    <row r="406" spans="1:4" x14ac:dyDescent="0.3">
      <c r="A406" s="2" t="s">
        <v>417</v>
      </c>
      <c r="B406" s="2" t="s">
        <v>14</v>
      </c>
      <c r="C406" s="6">
        <v>1.95</v>
      </c>
      <c r="D406" s="7">
        <f t="shared" si="6"/>
        <v>50050.65</v>
      </c>
    </row>
    <row r="407" spans="1:4" x14ac:dyDescent="0.3">
      <c r="A407" s="2" t="s">
        <v>418</v>
      </c>
      <c r="B407" s="2" t="s">
        <v>14</v>
      </c>
      <c r="C407" s="6">
        <v>1.64</v>
      </c>
      <c r="D407" s="7">
        <f t="shared" si="6"/>
        <v>42093.88</v>
      </c>
    </row>
    <row r="408" spans="1:4" x14ac:dyDescent="0.3">
      <c r="A408" s="2" t="s">
        <v>419</v>
      </c>
      <c r="B408" s="2" t="s">
        <v>14</v>
      </c>
      <c r="C408" s="6">
        <v>1.1599999999999999</v>
      </c>
      <c r="D408" s="7">
        <f t="shared" si="6"/>
        <v>29773.719999999998</v>
      </c>
    </row>
    <row r="409" spans="1:4" x14ac:dyDescent="0.3">
      <c r="A409" s="2" t="s">
        <v>420</v>
      </c>
      <c r="B409" s="2" t="s">
        <v>12</v>
      </c>
      <c r="C409" s="6">
        <v>1.95</v>
      </c>
      <c r="D409" s="7">
        <f t="shared" si="6"/>
        <v>1602.08</v>
      </c>
    </row>
    <row r="410" spans="1:4" x14ac:dyDescent="0.3">
      <c r="A410" s="2" t="s">
        <v>421</v>
      </c>
      <c r="B410" s="2" t="s">
        <v>14</v>
      </c>
      <c r="C410" s="6">
        <v>1.3</v>
      </c>
      <c r="D410" s="7">
        <f t="shared" si="6"/>
        <v>33367.1</v>
      </c>
    </row>
    <row r="411" spans="1:4" x14ac:dyDescent="0.3">
      <c r="A411" s="2" t="s">
        <v>422</v>
      </c>
      <c r="B411" s="2" t="s">
        <v>14</v>
      </c>
      <c r="C411" s="6">
        <v>1.55</v>
      </c>
      <c r="D411" s="7">
        <f t="shared" si="6"/>
        <v>39783.85</v>
      </c>
    </row>
    <row r="412" spans="1:4" x14ac:dyDescent="0.3">
      <c r="A412" s="2" t="s">
        <v>423</v>
      </c>
      <c r="B412" s="2" t="s">
        <v>12</v>
      </c>
      <c r="C412" s="6">
        <v>1.65</v>
      </c>
      <c r="D412" s="7">
        <f t="shared" si="6"/>
        <v>1602.08</v>
      </c>
    </row>
    <row r="413" spans="1:4" x14ac:dyDescent="0.3">
      <c r="A413" s="2" t="s">
        <v>424</v>
      </c>
      <c r="B413" s="2" t="s">
        <v>14</v>
      </c>
      <c r="C413" s="6">
        <v>1.77</v>
      </c>
      <c r="D413" s="7">
        <f t="shared" si="6"/>
        <v>45430.590000000004</v>
      </c>
    </row>
    <row r="414" spans="1:4" x14ac:dyDescent="0.3">
      <c r="A414" s="2" t="s">
        <v>425</v>
      </c>
      <c r="B414" s="2" t="s">
        <v>14</v>
      </c>
      <c r="C414" s="6">
        <v>1.34</v>
      </c>
      <c r="D414" s="7">
        <f t="shared" si="6"/>
        <v>34393.78</v>
      </c>
    </row>
    <row r="415" spans="1:4" x14ac:dyDescent="0.3">
      <c r="A415" s="2" t="s">
        <v>426</v>
      </c>
      <c r="B415" s="2" t="s">
        <v>12</v>
      </c>
      <c r="C415" s="6">
        <v>1.22</v>
      </c>
      <c r="D415" s="7">
        <f t="shared" si="6"/>
        <v>1602.08</v>
      </c>
    </row>
    <row r="416" spans="1:4" x14ac:dyDescent="0.3">
      <c r="A416" s="2" t="s">
        <v>427</v>
      </c>
      <c r="B416" s="2" t="s">
        <v>14</v>
      </c>
      <c r="C416" s="6">
        <v>1.99</v>
      </c>
      <c r="D416" s="7">
        <f t="shared" si="6"/>
        <v>51077.33</v>
      </c>
    </row>
    <row r="417" spans="1:4" x14ac:dyDescent="0.3">
      <c r="A417" s="2" t="s">
        <v>428</v>
      </c>
      <c r="B417" s="2" t="s">
        <v>12</v>
      </c>
      <c r="C417" s="6">
        <v>1.43</v>
      </c>
      <c r="D417" s="7">
        <f t="shared" si="6"/>
        <v>1602.08</v>
      </c>
    </row>
    <row r="418" spans="1:4" x14ac:dyDescent="0.3">
      <c r="A418" s="2" t="s">
        <v>429</v>
      </c>
      <c r="B418" s="2" t="s">
        <v>14</v>
      </c>
      <c r="C418" s="6">
        <v>1.41</v>
      </c>
      <c r="D418" s="7">
        <f t="shared" si="6"/>
        <v>36190.47</v>
      </c>
    </row>
    <row r="419" spans="1:4" x14ac:dyDescent="0.3">
      <c r="A419" s="2" t="s">
        <v>430</v>
      </c>
      <c r="B419" s="2" t="s">
        <v>12</v>
      </c>
      <c r="C419" s="6">
        <v>1.58</v>
      </c>
      <c r="D419" s="7">
        <f t="shared" si="6"/>
        <v>1602.08</v>
      </c>
    </row>
    <row r="420" spans="1:4" x14ac:dyDescent="0.3">
      <c r="A420" s="2" t="s">
        <v>431</v>
      </c>
      <c r="B420" s="2" t="s">
        <v>12</v>
      </c>
      <c r="C420" s="6">
        <v>1.72</v>
      </c>
      <c r="D420" s="7">
        <f t="shared" si="6"/>
        <v>1602.08</v>
      </c>
    </row>
    <row r="421" spans="1:4" x14ac:dyDescent="0.3">
      <c r="A421" s="2" t="s">
        <v>432</v>
      </c>
      <c r="B421" s="2" t="s">
        <v>12</v>
      </c>
      <c r="C421" s="6">
        <v>1.1100000000000001</v>
      </c>
      <c r="D421" s="7">
        <f t="shared" si="6"/>
        <v>1602.08</v>
      </c>
    </row>
    <row r="422" spans="1:4" x14ac:dyDescent="0.3">
      <c r="A422" s="2" t="s">
        <v>433</v>
      </c>
      <c r="B422" s="2" t="s">
        <v>12</v>
      </c>
      <c r="C422" s="6">
        <v>1.23</v>
      </c>
      <c r="D422" s="7">
        <f t="shared" si="6"/>
        <v>1602.08</v>
      </c>
    </row>
    <row r="423" spans="1:4" x14ac:dyDescent="0.3">
      <c r="A423" s="2" t="s">
        <v>434</v>
      </c>
      <c r="B423" s="2" t="s">
        <v>14</v>
      </c>
      <c r="C423" s="6">
        <v>1.79</v>
      </c>
      <c r="D423" s="7">
        <f t="shared" si="6"/>
        <v>45943.93</v>
      </c>
    </row>
    <row r="424" spans="1:4" x14ac:dyDescent="0.3">
      <c r="A424" s="2" t="s">
        <v>435</v>
      </c>
      <c r="B424" s="2" t="s">
        <v>14</v>
      </c>
      <c r="C424" s="6">
        <v>1.19</v>
      </c>
      <c r="D424" s="7">
        <f t="shared" si="6"/>
        <v>30543.73</v>
      </c>
    </row>
    <row r="425" spans="1:4" x14ac:dyDescent="0.3">
      <c r="A425" s="2" t="s">
        <v>436</v>
      </c>
      <c r="B425" s="2" t="s">
        <v>12</v>
      </c>
      <c r="C425" s="6">
        <v>1.58</v>
      </c>
      <c r="D425" s="7">
        <f t="shared" si="6"/>
        <v>1602.08</v>
      </c>
    </row>
    <row r="426" spans="1:4" x14ac:dyDescent="0.3">
      <c r="A426" s="2" t="s">
        <v>437</v>
      </c>
      <c r="B426" s="2" t="s">
        <v>12</v>
      </c>
      <c r="C426" s="6">
        <v>1.1299999999999999</v>
      </c>
      <c r="D426" s="7">
        <f t="shared" si="6"/>
        <v>1602.08</v>
      </c>
    </row>
    <row r="427" spans="1:4" x14ac:dyDescent="0.3">
      <c r="A427" s="2" t="s">
        <v>438</v>
      </c>
      <c r="B427" s="2" t="s">
        <v>14</v>
      </c>
      <c r="C427" s="6">
        <v>1.88</v>
      </c>
      <c r="D427" s="7">
        <f t="shared" si="6"/>
        <v>48253.96</v>
      </c>
    </row>
    <row r="428" spans="1:4" x14ac:dyDescent="0.3">
      <c r="A428" s="2" t="s">
        <v>439</v>
      </c>
      <c r="B428" s="2" t="s">
        <v>12</v>
      </c>
      <c r="C428" s="6">
        <v>1.41</v>
      </c>
      <c r="D428" s="7">
        <f t="shared" si="6"/>
        <v>1602.08</v>
      </c>
    </row>
    <row r="429" spans="1:4" x14ac:dyDescent="0.3">
      <c r="A429" s="2" t="s">
        <v>440</v>
      </c>
      <c r="B429" s="2" t="s">
        <v>12</v>
      </c>
      <c r="C429" s="6">
        <v>1.9</v>
      </c>
      <c r="D429" s="7">
        <f t="shared" si="6"/>
        <v>1602.08</v>
      </c>
    </row>
    <row r="430" spans="1:4" x14ac:dyDescent="0.3">
      <c r="A430" s="2" t="s">
        <v>441</v>
      </c>
      <c r="B430" s="2" t="s">
        <v>14</v>
      </c>
      <c r="C430" s="6">
        <v>1.5</v>
      </c>
      <c r="D430" s="7">
        <f t="shared" si="6"/>
        <v>38500.5</v>
      </c>
    </row>
    <row r="431" spans="1:4" x14ac:dyDescent="0.3">
      <c r="A431" s="2" t="s">
        <v>442</v>
      </c>
      <c r="B431" s="2" t="s">
        <v>14</v>
      </c>
      <c r="C431" s="6">
        <v>1.52</v>
      </c>
      <c r="D431" s="7">
        <f t="shared" si="6"/>
        <v>39013.840000000004</v>
      </c>
    </row>
    <row r="432" spans="1:4" x14ac:dyDescent="0.3">
      <c r="A432" s="2" t="s">
        <v>443</v>
      </c>
      <c r="B432" s="2" t="s">
        <v>12</v>
      </c>
      <c r="C432" s="6">
        <v>1.24</v>
      </c>
      <c r="D432" s="7">
        <f t="shared" si="6"/>
        <v>1602.08</v>
      </c>
    </row>
    <row r="433" spans="1:4" x14ac:dyDescent="0.3">
      <c r="A433" s="2" t="s">
        <v>444</v>
      </c>
      <c r="B433" s="2" t="s">
        <v>12</v>
      </c>
      <c r="C433" s="6">
        <v>1.0900000000000001</v>
      </c>
      <c r="D433" s="7">
        <f t="shared" si="6"/>
        <v>1602.08</v>
      </c>
    </row>
    <row r="434" spans="1:4" x14ac:dyDescent="0.3">
      <c r="A434" s="2" t="s">
        <v>445</v>
      </c>
      <c r="B434" s="2" t="s">
        <v>12</v>
      </c>
      <c r="C434" s="6">
        <v>1.78</v>
      </c>
      <c r="D434" s="7">
        <f t="shared" si="6"/>
        <v>1602.08</v>
      </c>
    </row>
    <row r="435" spans="1:4" x14ac:dyDescent="0.3">
      <c r="A435" s="2" t="s">
        <v>446</v>
      </c>
      <c r="B435" s="2" t="s">
        <v>12</v>
      </c>
      <c r="C435" s="6">
        <v>1.26</v>
      </c>
      <c r="D435" s="7">
        <f t="shared" si="6"/>
        <v>1602.08</v>
      </c>
    </row>
    <row r="436" spans="1:4" x14ac:dyDescent="0.3">
      <c r="A436" s="2" t="s">
        <v>447</v>
      </c>
      <c r="B436" s="2" t="s">
        <v>14</v>
      </c>
      <c r="C436" s="6">
        <v>1.29</v>
      </c>
      <c r="D436" s="7">
        <f t="shared" si="6"/>
        <v>33110.43</v>
      </c>
    </row>
    <row r="437" spans="1:4" x14ac:dyDescent="0.3">
      <c r="A437" s="2" t="s">
        <v>448</v>
      </c>
      <c r="B437" s="2" t="s">
        <v>14</v>
      </c>
      <c r="C437" s="6">
        <v>1.22</v>
      </c>
      <c r="D437" s="7">
        <f t="shared" si="6"/>
        <v>31313.739999999998</v>
      </c>
    </row>
    <row r="438" spans="1:4" x14ac:dyDescent="0.3">
      <c r="A438" s="2" t="s">
        <v>449</v>
      </c>
      <c r="B438" s="2" t="s">
        <v>14</v>
      </c>
      <c r="C438" s="6">
        <v>1.72</v>
      </c>
      <c r="D438" s="7">
        <f t="shared" si="6"/>
        <v>44147.24</v>
      </c>
    </row>
    <row r="439" spans="1:4" x14ac:dyDescent="0.3">
      <c r="A439" s="2" t="s">
        <v>450</v>
      </c>
      <c r="B439" s="2" t="s">
        <v>12</v>
      </c>
      <c r="C439" s="6">
        <v>1.19</v>
      </c>
      <c r="D439" s="7">
        <f t="shared" si="6"/>
        <v>1602.08</v>
      </c>
    </row>
    <row r="440" spans="1:4" x14ac:dyDescent="0.3">
      <c r="A440" s="2" t="s">
        <v>451</v>
      </c>
      <c r="B440" s="2" t="s">
        <v>14</v>
      </c>
      <c r="C440" s="6">
        <v>1.17</v>
      </c>
      <c r="D440" s="7">
        <f t="shared" si="6"/>
        <v>30030.39</v>
      </c>
    </row>
    <row r="441" spans="1:4" x14ac:dyDescent="0.3">
      <c r="A441" s="2" t="s">
        <v>452</v>
      </c>
      <c r="B441" s="2" t="s">
        <v>12</v>
      </c>
      <c r="C441" s="6">
        <v>1.52</v>
      </c>
      <c r="D441" s="7">
        <f t="shared" si="6"/>
        <v>1602.08</v>
      </c>
    </row>
    <row r="442" spans="1:4" x14ac:dyDescent="0.3">
      <c r="A442" s="2" t="s">
        <v>453</v>
      </c>
      <c r="B442" s="2" t="s">
        <v>14</v>
      </c>
      <c r="C442" s="6">
        <v>1.67</v>
      </c>
      <c r="D442" s="7">
        <f t="shared" si="6"/>
        <v>42863.89</v>
      </c>
    </row>
    <row r="443" spans="1:4" x14ac:dyDescent="0.3">
      <c r="A443" s="2" t="s">
        <v>454</v>
      </c>
      <c r="B443" s="2" t="s">
        <v>14</v>
      </c>
      <c r="C443" s="6">
        <v>1.1499999999999999</v>
      </c>
      <c r="D443" s="7">
        <f t="shared" si="6"/>
        <v>29517.05</v>
      </c>
    </row>
    <row r="444" spans="1:4" x14ac:dyDescent="0.3">
      <c r="A444" s="2" t="s">
        <v>455</v>
      </c>
      <c r="B444" s="2" t="s">
        <v>12</v>
      </c>
      <c r="C444" s="6">
        <v>1.62</v>
      </c>
      <c r="D444" s="7">
        <f t="shared" si="6"/>
        <v>1602.08</v>
      </c>
    </row>
    <row r="445" spans="1:4" x14ac:dyDescent="0.3">
      <c r="A445" s="2" t="s">
        <v>456</v>
      </c>
      <c r="B445" s="2" t="s">
        <v>12</v>
      </c>
      <c r="C445" s="6">
        <v>1.27</v>
      </c>
      <c r="D445" s="7">
        <f t="shared" si="6"/>
        <v>1602.08</v>
      </c>
    </row>
    <row r="446" spans="1:4" x14ac:dyDescent="0.3">
      <c r="A446" s="2" t="s">
        <v>457</v>
      </c>
      <c r="B446" s="2" t="s">
        <v>12</v>
      </c>
      <c r="C446" s="6">
        <v>1.85</v>
      </c>
      <c r="D446" s="7">
        <f t="shared" si="6"/>
        <v>1602.08</v>
      </c>
    </row>
    <row r="447" spans="1:4" x14ac:dyDescent="0.3">
      <c r="A447" s="2" t="s">
        <v>458</v>
      </c>
      <c r="B447" s="2" t="s">
        <v>14</v>
      </c>
      <c r="C447" s="6">
        <v>1.84</v>
      </c>
      <c r="D447" s="7">
        <f t="shared" si="6"/>
        <v>47227.28</v>
      </c>
    </row>
    <row r="448" spans="1:4" x14ac:dyDescent="0.3">
      <c r="A448" s="2" t="s">
        <v>459</v>
      </c>
      <c r="B448" s="2" t="s">
        <v>12</v>
      </c>
      <c r="C448" s="6">
        <v>1.05</v>
      </c>
      <c r="D448" s="7">
        <f t="shared" si="6"/>
        <v>1602.08</v>
      </c>
    </row>
    <row r="449" spans="1:4" x14ac:dyDescent="0.3">
      <c r="A449" s="2" t="s">
        <v>460</v>
      </c>
      <c r="B449" s="2" t="s">
        <v>14</v>
      </c>
      <c r="C449" s="6">
        <v>1.72</v>
      </c>
      <c r="D449" s="7">
        <f t="shared" si="6"/>
        <v>44147.24</v>
      </c>
    </row>
    <row r="450" spans="1:4" x14ac:dyDescent="0.3">
      <c r="A450" s="2" t="s">
        <v>461</v>
      </c>
      <c r="B450" s="2" t="s">
        <v>14</v>
      </c>
      <c r="C450" s="6">
        <v>1.21</v>
      </c>
      <c r="D450" s="7">
        <f t="shared" si="6"/>
        <v>31057.07</v>
      </c>
    </row>
    <row r="451" spans="1:4" x14ac:dyDescent="0.3">
      <c r="A451" s="2" t="s">
        <v>462</v>
      </c>
      <c r="B451" s="2" t="s">
        <v>14</v>
      </c>
      <c r="C451" s="6">
        <v>1.73</v>
      </c>
      <c r="D451" s="7">
        <f t="shared" ref="D451:D501" si="7">IF(B451=$G$2,C451*$H$2,$H$3)</f>
        <v>44403.909999999996</v>
      </c>
    </row>
    <row r="452" spans="1:4" x14ac:dyDescent="0.3">
      <c r="A452" s="2" t="s">
        <v>463</v>
      </c>
      <c r="B452" s="2" t="s">
        <v>12</v>
      </c>
      <c r="C452" s="6">
        <v>1.56</v>
      </c>
      <c r="D452" s="7">
        <f t="shared" si="7"/>
        <v>1602.08</v>
      </c>
    </row>
    <row r="453" spans="1:4" x14ac:dyDescent="0.3">
      <c r="A453" s="2" t="s">
        <v>464</v>
      </c>
      <c r="B453" s="2" t="s">
        <v>12</v>
      </c>
      <c r="C453" s="6">
        <v>1.17</v>
      </c>
      <c r="D453" s="7">
        <f t="shared" si="7"/>
        <v>1602.08</v>
      </c>
    </row>
    <row r="454" spans="1:4" x14ac:dyDescent="0.3">
      <c r="A454" s="2" t="s">
        <v>465</v>
      </c>
      <c r="B454" s="2" t="s">
        <v>14</v>
      </c>
      <c r="C454" s="6">
        <v>1.75</v>
      </c>
      <c r="D454" s="7">
        <f t="shared" si="7"/>
        <v>44917.25</v>
      </c>
    </row>
    <row r="455" spans="1:4" x14ac:dyDescent="0.3">
      <c r="A455" s="2" t="s">
        <v>466</v>
      </c>
      <c r="B455" s="2" t="s">
        <v>14</v>
      </c>
      <c r="C455" s="6">
        <v>1.44</v>
      </c>
      <c r="D455" s="7">
        <f t="shared" si="7"/>
        <v>36960.479999999996</v>
      </c>
    </row>
    <row r="456" spans="1:4" x14ac:dyDescent="0.3">
      <c r="A456" s="2" t="s">
        <v>467</v>
      </c>
      <c r="B456" s="2" t="s">
        <v>14</v>
      </c>
      <c r="C456" s="6">
        <v>1.27</v>
      </c>
      <c r="D456" s="7">
        <f t="shared" si="7"/>
        <v>32597.09</v>
      </c>
    </row>
    <row r="457" spans="1:4" x14ac:dyDescent="0.3">
      <c r="A457" s="2" t="s">
        <v>468</v>
      </c>
      <c r="B457" s="2" t="s">
        <v>12</v>
      </c>
      <c r="C457" s="6">
        <v>1.38</v>
      </c>
      <c r="D457" s="7">
        <f t="shared" si="7"/>
        <v>1602.08</v>
      </c>
    </row>
    <row r="458" spans="1:4" x14ac:dyDescent="0.3">
      <c r="A458" s="2" t="s">
        <v>469</v>
      </c>
      <c r="B458" s="2" t="s">
        <v>12</v>
      </c>
      <c r="C458" s="6">
        <v>1.77</v>
      </c>
      <c r="D458" s="7">
        <f t="shared" si="7"/>
        <v>1602.08</v>
      </c>
    </row>
    <row r="459" spans="1:4" x14ac:dyDescent="0.3">
      <c r="A459" s="2" t="s">
        <v>470</v>
      </c>
      <c r="B459" s="2" t="s">
        <v>12</v>
      </c>
      <c r="C459" s="6">
        <v>1.02</v>
      </c>
      <c r="D459" s="7">
        <f t="shared" si="7"/>
        <v>1602.08</v>
      </c>
    </row>
    <row r="460" spans="1:4" x14ac:dyDescent="0.3">
      <c r="A460" s="2" t="s">
        <v>471</v>
      </c>
      <c r="B460" s="2" t="s">
        <v>12</v>
      </c>
      <c r="C460" s="6">
        <v>1.87</v>
      </c>
      <c r="D460" s="7">
        <f t="shared" si="7"/>
        <v>1602.08</v>
      </c>
    </row>
    <row r="461" spans="1:4" x14ac:dyDescent="0.3">
      <c r="A461" s="2" t="s">
        <v>472</v>
      </c>
      <c r="B461" s="2" t="s">
        <v>12</v>
      </c>
      <c r="C461" s="6">
        <v>1.21</v>
      </c>
      <c r="D461" s="7">
        <f t="shared" si="7"/>
        <v>1602.08</v>
      </c>
    </row>
    <row r="462" spans="1:4" x14ac:dyDescent="0.3">
      <c r="A462" s="2" t="s">
        <v>473</v>
      </c>
      <c r="B462" s="2" t="s">
        <v>14</v>
      </c>
      <c r="C462" s="6">
        <v>1.19</v>
      </c>
      <c r="D462" s="7">
        <f t="shared" si="7"/>
        <v>30543.73</v>
      </c>
    </row>
    <row r="463" spans="1:4" x14ac:dyDescent="0.3">
      <c r="A463" s="2" t="s">
        <v>474</v>
      </c>
      <c r="B463" s="2" t="s">
        <v>14</v>
      </c>
      <c r="C463" s="6">
        <v>1.4</v>
      </c>
      <c r="D463" s="7">
        <f t="shared" si="7"/>
        <v>35933.799999999996</v>
      </c>
    </row>
    <row r="464" spans="1:4" x14ac:dyDescent="0.3">
      <c r="A464" s="2" t="s">
        <v>475</v>
      </c>
      <c r="B464" s="2" t="s">
        <v>14</v>
      </c>
      <c r="C464" s="6">
        <v>1.26</v>
      </c>
      <c r="D464" s="7">
        <f t="shared" si="7"/>
        <v>32340.420000000002</v>
      </c>
    </row>
    <row r="465" spans="1:4" x14ac:dyDescent="0.3">
      <c r="A465" s="2" t="s">
        <v>476</v>
      </c>
      <c r="B465" s="2" t="s">
        <v>12</v>
      </c>
      <c r="C465" s="6">
        <v>1.71</v>
      </c>
      <c r="D465" s="7">
        <f t="shared" si="7"/>
        <v>1602.08</v>
      </c>
    </row>
    <row r="466" spans="1:4" x14ac:dyDescent="0.3">
      <c r="A466" s="2" t="s">
        <v>477</v>
      </c>
      <c r="B466" s="2" t="s">
        <v>14</v>
      </c>
      <c r="C466" s="6">
        <v>1.02</v>
      </c>
      <c r="D466" s="7">
        <f t="shared" si="7"/>
        <v>26180.34</v>
      </c>
    </row>
    <row r="467" spans="1:4" x14ac:dyDescent="0.3">
      <c r="A467" s="2" t="s">
        <v>478</v>
      </c>
      <c r="B467" s="2" t="s">
        <v>14</v>
      </c>
      <c r="C467" s="6">
        <v>1.66</v>
      </c>
      <c r="D467" s="7">
        <f t="shared" si="7"/>
        <v>42607.22</v>
      </c>
    </row>
    <row r="468" spans="1:4" x14ac:dyDescent="0.3">
      <c r="A468" s="2" t="s">
        <v>479</v>
      </c>
      <c r="B468" s="2" t="s">
        <v>12</v>
      </c>
      <c r="C468" s="6">
        <v>1.25</v>
      </c>
      <c r="D468" s="7">
        <f t="shared" si="7"/>
        <v>1602.08</v>
      </c>
    </row>
    <row r="469" spans="1:4" x14ac:dyDescent="0.3">
      <c r="A469" s="2" t="s">
        <v>480</v>
      </c>
      <c r="B469" s="2" t="s">
        <v>12</v>
      </c>
      <c r="C469" s="6">
        <v>1.67</v>
      </c>
      <c r="D469" s="7">
        <f t="shared" si="7"/>
        <v>1602.08</v>
      </c>
    </row>
    <row r="470" spans="1:4" x14ac:dyDescent="0.3">
      <c r="A470" s="2" t="s">
        <v>481</v>
      </c>
      <c r="B470" s="2" t="s">
        <v>14</v>
      </c>
      <c r="C470" s="6">
        <v>1.41</v>
      </c>
      <c r="D470" s="7">
        <f t="shared" si="7"/>
        <v>36190.47</v>
      </c>
    </row>
    <row r="471" spans="1:4" x14ac:dyDescent="0.3">
      <c r="A471" s="2" t="s">
        <v>482</v>
      </c>
      <c r="B471" s="2" t="s">
        <v>14</v>
      </c>
      <c r="C471" s="6">
        <v>1.65</v>
      </c>
      <c r="D471" s="7">
        <f t="shared" si="7"/>
        <v>42350.549999999996</v>
      </c>
    </row>
    <row r="472" spans="1:4" x14ac:dyDescent="0.3">
      <c r="A472" s="2" t="s">
        <v>483</v>
      </c>
      <c r="B472" s="2" t="s">
        <v>14</v>
      </c>
      <c r="C472" s="6">
        <v>1.47</v>
      </c>
      <c r="D472" s="7">
        <f t="shared" si="7"/>
        <v>37730.49</v>
      </c>
    </row>
    <row r="473" spans="1:4" x14ac:dyDescent="0.3">
      <c r="A473" s="2" t="s">
        <v>484</v>
      </c>
      <c r="B473" s="2" t="s">
        <v>12</v>
      </c>
      <c r="C473" s="6">
        <v>1.19</v>
      </c>
      <c r="D473" s="7">
        <f t="shared" si="7"/>
        <v>1602.08</v>
      </c>
    </row>
    <row r="474" spans="1:4" x14ac:dyDescent="0.3">
      <c r="A474" s="2" t="s">
        <v>485</v>
      </c>
      <c r="B474" s="2" t="s">
        <v>12</v>
      </c>
      <c r="C474" s="6">
        <v>1.66</v>
      </c>
      <c r="D474" s="7">
        <f t="shared" si="7"/>
        <v>1602.08</v>
      </c>
    </row>
    <row r="475" spans="1:4" x14ac:dyDescent="0.3">
      <c r="A475" s="2" t="s">
        <v>486</v>
      </c>
      <c r="B475" s="2" t="s">
        <v>14</v>
      </c>
      <c r="C475" s="6">
        <v>1.59</v>
      </c>
      <c r="D475" s="7">
        <f t="shared" si="7"/>
        <v>40810.53</v>
      </c>
    </row>
    <row r="476" spans="1:4" x14ac:dyDescent="0.3">
      <c r="A476" s="2" t="s">
        <v>487</v>
      </c>
      <c r="B476" s="2" t="s">
        <v>14</v>
      </c>
      <c r="C476" s="6">
        <v>1.51</v>
      </c>
      <c r="D476" s="7">
        <f t="shared" si="7"/>
        <v>38757.17</v>
      </c>
    </row>
    <row r="477" spans="1:4" x14ac:dyDescent="0.3">
      <c r="A477" s="2" t="s">
        <v>488</v>
      </c>
      <c r="B477" s="2" t="s">
        <v>12</v>
      </c>
      <c r="C477" s="6">
        <v>1.1299999999999999</v>
      </c>
      <c r="D477" s="7">
        <f t="shared" si="7"/>
        <v>1602.08</v>
      </c>
    </row>
    <row r="478" spans="1:4" x14ac:dyDescent="0.3">
      <c r="A478" s="2" t="s">
        <v>489</v>
      </c>
      <c r="B478" s="2" t="s">
        <v>12</v>
      </c>
      <c r="C478" s="6">
        <v>1.44</v>
      </c>
      <c r="D478" s="7">
        <f t="shared" si="7"/>
        <v>1602.08</v>
      </c>
    </row>
    <row r="479" spans="1:4" x14ac:dyDescent="0.3">
      <c r="A479" s="2" t="s">
        <v>490</v>
      </c>
      <c r="B479" s="2" t="s">
        <v>14</v>
      </c>
      <c r="C479" s="6">
        <v>1.71</v>
      </c>
      <c r="D479" s="7">
        <f t="shared" si="7"/>
        <v>43890.57</v>
      </c>
    </row>
    <row r="480" spans="1:4" x14ac:dyDescent="0.3">
      <c r="A480" s="2" t="s">
        <v>491</v>
      </c>
      <c r="B480" s="2" t="s">
        <v>12</v>
      </c>
      <c r="C480" s="6">
        <v>1.07</v>
      </c>
      <c r="D480" s="7">
        <f t="shared" si="7"/>
        <v>1602.08</v>
      </c>
    </row>
    <row r="481" spans="1:4" x14ac:dyDescent="0.3">
      <c r="A481" s="2" t="s">
        <v>492</v>
      </c>
      <c r="B481" s="2" t="s">
        <v>14</v>
      </c>
      <c r="C481" s="6">
        <v>1.1200000000000001</v>
      </c>
      <c r="D481" s="7">
        <f t="shared" si="7"/>
        <v>28747.040000000005</v>
      </c>
    </row>
    <row r="482" spans="1:4" x14ac:dyDescent="0.3">
      <c r="A482" s="2" t="s">
        <v>493</v>
      </c>
      <c r="B482" s="2" t="s">
        <v>14</v>
      </c>
      <c r="C482" s="6">
        <v>1.86</v>
      </c>
      <c r="D482" s="7">
        <f t="shared" si="7"/>
        <v>47740.62</v>
      </c>
    </row>
    <row r="483" spans="1:4" x14ac:dyDescent="0.3">
      <c r="A483" s="2" t="s">
        <v>494</v>
      </c>
      <c r="B483" s="2" t="s">
        <v>12</v>
      </c>
      <c r="C483" s="6">
        <v>1.1200000000000001</v>
      </c>
      <c r="D483" s="7">
        <f t="shared" si="7"/>
        <v>1602.08</v>
      </c>
    </row>
    <row r="484" spans="1:4" x14ac:dyDescent="0.3">
      <c r="A484" s="2" t="s">
        <v>495</v>
      </c>
      <c r="B484" s="2" t="s">
        <v>12</v>
      </c>
      <c r="C484" s="6">
        <v>1.69</v>
      </c>
      <c r="D484" s="7">
        <f t="shared" si="7"/>
        <v>1602.08</v>
      </c>
    </row>
    <row r="485" spans="1:4" x14ac:dyDescent="0.3">
      <c r="A485" s="2" t="s">
        <v>496</v>
      </c>
      <c r="B485" s="2" t="s">
        <v>14</v>
      </c>
      <c r="C485" s="6">
        <v>1.63</v>
      </c>
      <c r="D485" s="7">
        <f t="shared" si="7"/>
        <v>41837.21</v>
      </c>
    </row>
    <row r="486" spans="1:4" x14ac:dyDescent="0.3">
      <c r="A486" s="2" t="s">
        <v>497</v>
      </c>
      <c r="B486" s="2" t="s">
        <v>12</v>
      </c>
      <c r="C486" s="6">
        <v>1.29</v>
      </c>
      <c r="D486" s="7">
        <f t="shared" si="7"/>
        <v>1602.08</v>
      </c>
    </row>
    <row r="487" spans="1:4" x14ac:dyDescent="0.3">
      <c r="A487" s="2" t="s">
        <v>498</v>
      </c>
      <c r="B487" s="2" t="s">
        <v>14</v>
      </c>
      <c r="C487" s="6">
        <v>1.01</v>
      </c>
      <c r="D487" s="7">
        <f t="shared" si="7"/>
        <v>25923.670000000002</v>
      </c>
    </row>
    <row r="488" spans="1:4" x14ac:dyDescent="0.3">
      <c r="A488" s="2" t="s">
        <v>499</v>
      </c>
      <c r="B488" s="2" t="s">
        <v>12</v>
      </c>
      <c r="C488" s="6">
        <v>1.58</v>
      </c>
      <c r="D488" s="7">
        <f t="shared" si="7"/>
        <v>1602.08</v>
      </c>
    </row>
    <row r="489" spans="1:4" x14ac:dyDescent="0.3">
      <c r="A489" s="2" t="s">
        <v>500</v>
      </c>
      <c r="B489" s="2" t="s">
        <v>14</v>
      </c>
      <c r="C489" s="6">
        <v>1.43</v>
      </c>
      <c r="D489" s="7">
        <f t="shared" si="7"/>
        <v>36703.81</v>
      </c>
    </row>
    <row r="490" spans="1:4" x14ac:dyDescent="0.3">
      <c r="A490" s="2" t="s">
        <v>501</v>
      </c>
      <c r="B490" s="2" t="s">
        <v>14</v>
      </c>
      <c r="C490" s="6">
        <v>1.67</v>
      </c>
      <c r="D490" s="7">
        <f t="shared" si="7"/>
        <v>42863.89</v>
      </c>
    </row>
    <row r="491" spans="1:4" x14ac:dyDescent="0.3">
      <c r="A491" s="2" t="s">
        <v>502</v>
      </c>
      <c r="B491" s="2" t="s">
        <v>14</v>
      </c>
      <c r="C491" s="6">
        <v>1.0900000000000001</v>
      </c>
      <c r="D491" s="7">
        <f t="shared" si="7"/>
        <v>27977.030000000002</v>
      </c>
    </row>
    <row r="492" spans="1:4" x14ac:dyDescent="0.3">
      <c r="A492" s="2" t="s">
        <v>503</v>
      </c>
      <c r="B492" s="2" t="s">
        <v>12</v>
      </c>
      <c r="C492" s="6">
        <v>1.08</v>
      </c>
      <c r="D492" s="7">
        <f t="shared" si="7"/>
        <v>1602.08</v>
      </c>
    </row>
    <row r="493" spans="1:4" x14ac:dyDescent="0.3">
      <c r="A493" s="2" t="s">
        <v>504</v>
      </c>
      <c r="B493" s="2" t="s">
        <v>12</v>
      </c>
      <c r="C493" s="6">
        <v>1.8</v>
      </c>
      <c r="D493" s="7">
        <f t="shared" si="7"/>
        <v>1602.08</v>
      </c>
    </row>
    <row r="494" spans="1:4" x14ac:dyDescent="0.3">
      <c r="A494" s="2" t="s">
        <v>505</v>
      </c>
      <c r="B494" s="2" t="s">
        <v>14</v>
      </c>
      <c r="C494" s="6">
        <v>1.76</v>
      </c>
      <c r="D494" s="7">
        <f t="shared" si="7"/>
        <v>45173.919999999998</v>
      </c>
    </row>
    <row r="495" spans="1:4" x14ac:dyDescent="0.3">
      <c r="A495" s="2" t="s">
        <v>506</v>
      </c>
      <c r="B495" s="2" t="s">
        <v>12</v>
      </c>
      <c r="C495" s="6">
        <v>1.82</v>
      </c>
      <c r="D495" s="7">
        <f t="shared" si="7"/>
        <v>1602.08</v>
      </c>
    </row>
    <row r="496" spans="1:4" x14ac:dyDescent="0.3">
      <c r="A496" s="2" t="s">
        <v>507</v>
      </c>
      <c r="B496" s="2" t="s">
        <v>12</v>
      </c>
      <c r="C496" s="6">
        <v>1.06</v>
      </c>
      <c r="D496" s="7">
        <f t="shared" si="7"/>
        <v>1602.08</v>
      </c>
    </row>
    <row r="497" spans="1:4" x14ac:dyDescent="0.3">
      <c r="A497" s="2" t="s">
        <v>508</v>
      </c>
      <c r="B497" s="2" t="s">
        <v>12</v>
      </c>
      <c r="C497" s="6">
        <v>1.77</v>
      </c>
      <c r="D497" s="7">
        <f t="shared" si="7"/>
        <v>1602.08</v>
      </c>
    </row>
    <row r="498" spans="1:4" x14ac:dyDescent="0.3">
      <c r="A498" s="2" t="s">
        <v>509</v>
      </c>
      <c r="B498" s="2" t="s">
        <v>12</v>
      </c>
      <c r="C498" s="6">
        <v>1.92</v>
      </c>
      <c r="D498" s="7">
        <f t="shared" si="7"/>
        <v>1602.08</v>
      </c>
    </row>
    <row r="499" spans="1:4" x14ac:dyDescent="0.3">
      <c r="A499" s="2" t="s">
        <v>510</v>
      </c>
      <c r="B499" s="2" t="s">
        <v>14</v>
      </c>
      <c r="C499" s="6">
        <v>1.39</v>
      </c>
      <c r="D499" s="7">
        <f t="shared" si="7"/>
        <v>35677.129999999997</v>
      </c>
    </row>
    <row r="500" spans="1:4" x14ac:dyDescent="0.3">
      <c r="A500" s="2" t="s">
        <v>511</v>
      </c>
      <c r="B500" s="2" t="s">
        <v>14</v>
      </c>
      <c r="C500" s="6">
        <v>1.52</v>
      </c>
      <c r="D500" s="7">
        <f t="shared" si="7"/>
        <v>39013.840000000004</v>
      </c>
    </row>
    <row r="501" spans="1:4" x14ac:dyDescent="0.3">
      <c r="A501" s="2" t="s">
        <v>512</v>
      </c>
      <c r="B501" s="2" t="s">
        <v>14</v>
      </c>
      <c r="C501" s="6">
        <v>1.23</v>
      </c>
      <c r="D501" s="7">
        <f t="shared" si="7"/>
        <v>31570.41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A4D61-4883-4FC8-9221-B3D160C99974}">
  <sheetPr codeName="Planilha3"/>
  <dimension ref="A1:J11"/>
  <sheetViews>
    <sheetView workbookViewId="0">
      <selection activeCell="I15" sqref="I15"/>
    </sheetView>
  </sheetViews>
  <sheetFormatPr defaultRowHeight="14.4" x14ac:dyDescent="0.3"/>
  <cols>
    <col min="1" max="1" width="3" bestFit="1" customWidth="1"/>
    <col min="4" max="4" width="6.33203125" bestFit="1" customWidth="1"/>
    <col min="5" max="5" width="10.77734375" bestFit="1" customWidth="1"/>
    <col min="6" max="6" width="11.109375" bestFit="1" customWidth="1"/>
    <col min="7" max="7" width="9.109375" bestFit="1" customWidth="1"/>
    <col min="8" max="8" width="8.44140625" bestFit="1" customWidth="1"/>
    <col min="9" max="9" width="8.21875" bestFit="1" customWidth="1"/>
    <col min="10" max="10" width="7.33203125" bestFit="1" customWidth="1"/>
  </cols>
  <sheetData>
    <row r="1" spans="1:10" x14ac:dyDescent="0.3">
      <c r="A1" s="8" t="s">
        <v>531</v>
      </c>
      <c r="B1" s="8"/>
      <c r="C1" s="8" t="s">
        <v>0</v>
      </c>
      <c r="D1" s="8" t="s">
        <v>515</v>
      </c>
      <c r="E1" s="8" t="s">
        <v>532</v>
      </c>
      <c r="F1" s="8" t="s">
        <v>516</v>
      </c>
      <c r="G1" s="8" t="s">
        <v>517</v>
      </c>
      <c r="H1" s="8" t="s">
        <v>518</v>
      </c>
      <c r="I1" s="8" t="s">
        <v>519</v>
      </c>
      <c r="J1" s="8" t="s">
        <v>520</v>
      </c>
    </row>
    <row r="2" spans="1:10" x14ac:dyDescent="0.3">
      <c r="A2" s="10">
        <v>1</v>
      </c>
      <c r="B2" s="9"/>
      <c r="C2" s="11" t="s">
        <v>14</v>
      </c>
      <c r="D2" s="10" t="s">
        <v>521</v>
      </c>
      <c r="E2" s="19">
        <v>25667</v>
      </c>
      <c r="F2" s="10" t="s">
        <v>575</v>
      </c>
      <c r="G2" s="10" t="s">
        <v>576</v>
      </c>
      <c r="H2" s="12">
        <v>0.438</v>
      </c>
      <c r="I2" s="12">
        <v>-2.0299999999999999E-2</v>
      </c>
      <c r="J2" s="12">
        <v>-0.1237</v>
      </c>
    </row>
    <row r="3" spans="1:10" x14ac:dyDescent="0.3">
      <c r="A3" s="10">
        <v>2</v>
      </c>
      <c r="B3" s="9"/>
      <c r="C3" s="11" t="s">
        <v>12</v>
      </c>
      <c r="D3" s="10" t="s">
        <v>522</v>
      </c>
      <c r="E3" s="13">
        <v>1602.08</v>
      </c>
      <c r="F3" s="10" t="s">
        <v>577</v>
      </c>
      <c r="G3" s="10" t="s">
        <v>578</v>
      </c>
      <c r="H3" s="12">
        <v>0.2114</v>
      </c>
      <c r="I3" s="12">
        <v>-4.2799999999999998E-2</v>
      </c>
      <c r="J3" s="12">
        <v>-0.1221</v>
      </c>
    </row>
    <row r="4" spans="1:10" x14ac:dyDescent="0.3">
      <c r="A4" s="10">
        <v>3</v>
      </c>
      <c r="B4" s="9"/>
      <c r="C4" s="11" t="s">
        <v>514</v>
      </c>
      <c r="D4" s="10" t="s">
        <v>523</v>
      </c>
      <c r="E4" s="11">
        <v>0.99990000000000001</v>
      </c>
      <c r="F4" s="10" t="s">
        <v>574</v>
      </c>
      <c r="G4" s="10" t="s">
        <v>579</v>
      </c>
      <c r="H4" s="12">
        <v>0.73099999999999998</v>
      </c>
      <c r="I4" s="12">
        <v>-2.0000000000000001E-4</v>
      </c>
      <c r="J4" s="12">
        <v>8.0000000000000004E-4</v>
      </c>
    </row>
    <row r="5" spans="1:10" x14ac:dyDescent="0.3">
      <c r="A5" s="10">
        <v>4</v>
      </c>
      <c r="B5" s="9"/>
      <c r="C5" s="11" t="s">
        <v>524</v>
      </c>
      <c r="D5" s="10" t="s">
        <v>524</v>
      </c>
      <c r="E5" s="11">
        <v>206.91</v>
      </c>
      <c r="F5" s="10" t="s">
        <v>580</v>
      </c>
      <c r="G5" s="10" t="s">
        <v>581</v>
      </c>
      <c r="H5" s="12">
        <v>1.95E-2</v>
      </c>
      <c r="I5" s="12">
        <v>-2.0799999999999999E-2</v>
      </c>
      <c r="J5" s="12">
        <v>-0.12809999999999999</v>
      </c>
    </row>
    <row r="6" spans="1:10" x14ac:dyDescent="0.3">
      <c r="A6" s="10">
        <v>5</v>
      </c>
      <c r="B6" s="9"/>
      <c r="C6" s="11" t="s">
        <v>527</v>
      </c>
      <c r="D6" s="10" t="s">
        <v>527</v>
      </c>
      <c r="E6" s="11">
        <v>0.51365000000000005</v>
      </c>
      <c r="F6" s="10" t="s">
        <v>582</v>
      </c>
      <c r="G6" s="10" t="s">
        <v>583</v>
      </c>
      <c r="H6" s="12">
        <v>3.8300000000000001E-2</v>
      </c>
      <c r="I6" s="12">
        <v>-1.9599999999999999E-2</v>
      </c>
      <c r="J6" s="12">
        <v>-0.15429999999999999</v>
      </c>
    </row>
    <row r="7" spans="1:10" x14ac:dyDescent="0.3">
      <c r="A7" s="10">
        <v>6</v>
      </c>
      <c r="B7" s="9"/>
      <c r="C7" s="11" t="s">
        <v>525</v>
      </c>
      <c r="D7" s="10" t="s">
        <v>526</v>
      </c>
      <c r="E7" s="11">
        <v>1.0004</v>
      </c>
      <c r="F7" s="10" t="s">
        <v>569</v>
      </c>
      <c r="G7" s="10" t="s">
        <v>584</v>
      </c>
      <c r="H7" s="12">
        <v>0.109</v>
      </c>
      <c r="I7" s="12">
        <v>2.9999999999999997E-4</v>
      </c>
      <c r="J7" s="12">
        <v>-1E-4</v>
      </c>
    </row>
    <row r="8" spans="1:10" x14ac:dyDescent="0.3">
      <c r="A8" s="10">
        <v>7</v>
      </c>
      <c r="B8" s="9"/>
      <c r="C8" s="11" t="s">
        <v>528</v>
      </c>
      <c r="D8" s="10" t="s">
        <v>529</v>
      </c>
      <c r="E8" s="11">
        <v>0.25340000000000001</v>
      </c>
      <c r="F8" s="10" t="s">
        <v>585</v>
      </c>
      <c r="G8" s="10" t="s">
        <v>586</v>
      </c>
      <c r="H8" s="12">
        <v>6.6E-3</v>
      </c>
      <c r="I8" s="12">
        <v>-4.36E-2</v>
      </c>
      <c r="J8" s="12">
        <v>-0.1042</v>
      </c>
    </row>
    <row r="9" spans="1:10" x14ac:dyDescent="0.3">
      <c r="A9" s="10">
        <v>8</v>
      </c>
      <c r="B9" s="9"/>
      <c r="C9" s="11" t="s">
        <v>550</v>
      </c>
      <c r="D9" s="10" t="s">
        <v>551</v>
      </c>
      <c r="E9" s="11">
        <v>6.1471999999999999E-2</v>
      </c>
      <c r="F9" s="10" t="s">
        <v>587</v>
      </c>
      <c r="G9" s="10" t="s">
        <v>588</v>
      </c>
      <c r="H9" s="12">
        <v>8.2000000000000007E-3</v>
      </c>
      <c r="I9" s="12">
        <v>-1.9099999999999999E-2</v>
      </c>
      <c r="J9" s="12">
        <v>-0.13650000000000001</v>
      </c>
    </row>
    <row r="10" spans="1:10" x14ac:dyDescent="0.3">
      <c r="A10" s="10">
        <v>9</v>
      </c>
      <c r="B10" s="9"/>
      <c r="C10" s="11" t="s">
        <v>570</v>
      </c>
      <c r="D10" s="10" t="s">
        <v>571</v>
      </c>
      <c r="E10" s="11">
        <v>19.940000000000001</v>
      </c>
      <c r="F10" s="10" t="s">
        <v>589</v>
      </c>
      <c r="G10" s="10" t="s">
        <v>590</v>
      </c>
      <c r="H10" s="12">
        <v>1.12E-2</v>
      </c>
      <c r="I10" s="12">
        <v>-6.5600000000000006E-2</v>
      </c>
      <c r="J10" s="12">
        <v>-0.1699</v>
      </c>
    </row>
    <row r="11" spans="1:10" x14ac:dyDescent="0.3">
      <c r="A11" s="10">
        <v>10</v>
      </c>
      <c r="B11" s="9"/>
      <c r="C11" s="11" t="s">
        <v>572</v>
      </c>
      <c r="D11" s="10" t="s">
        <v>573</v>
      </c>
      <c r="E11" s="11">
        <v>7.4503E-2</v>
      </c>
      <c r="F11" s="10" t="s">
        <v>591</v>
      </c>
      <c r="G11" s="10" t="s">
        <v>592</v>
      </c>
      <c r="H11" s="12">
        <v>5.0000000000000001E-3</v>
      </c>
      <c r="I11" s="12">
        <v>-1.01E-2</v>
      </c>
      <c r="J11" s="12">
        <v>-2.4500000000000001E-2</v>
      </c>
    </row>
  </sheetData>
  <hyperlinks>
    <hyperlink ref="C2" r:id="rId1" display="https://br.investing.com/crypto/bitcoin" xr:uid="{29AC1C64-7B99-4FDA-AF78-380E9D165B66}"/>
    <hyperlink ref="E2" r:id="rId2" display="https://br.investing.com/crypto/?c1=189&amp;c2=12" xr:uid="{985D6C32-EDB1-4946-ACCF-9B9D030E303B}"/>
    <hyperlink ref="C3" r:id="rId3" display="https://br.investing.com/crypto/ethereum" xr:uid="{7A1322F8-DE1D-42A7-97FD-4360C5AC124C}"/>
    <hyperlink ref="E3" r:id="rId4" display="https://br.investing.com/crypto/?c1=195&amp;c2=12" xr:uid="{75363E7F-E67F-4636-B80A-0AE33AB7E732}"/>
    <hyperlink ref="C4" r:id="rId5" display="https://br.investing.com/crypto/tether" xr:uid="{1183ECD4-7DAB-433F-8A95-E1E2C1976284}"/>
    <hyperlink ref="E4" r:id="rId6" display="https://br.investing.com/crypto/?c1=205&amp;c2=12" xr:uid="{FE70D22E-8462-40F7-A652-8FDBB7EE0258}"/>
    <hyperlink ref="C5" r:id="rId7" display="https://br.investing.com/crypto/bnb" xr:uid="{B3A2E57A-ED2A-4B76-B816-E1FEB354DDAB}"/>
    <hyperlink ref="E5" r:id="rId8" display="https://br.investing.com/crypto/?c1=233&amp;c2=12" xr:uid="{04FD9378-2D13-4197-9410-326C39D895F0}"/>
    <hyperlink ref="C6" r:id="rId9" display="https://br.investing.com/crypto/xrp" xr:uid="{20AA542E-686F-4927-9FE3-6E59B229A0F1}"/>
    <hyperlink ref="E6" r:id="rId10" display="https://br.investing.com/crypto/?c1=197&amp;c2=12" xr:uid="{5BDD8725-B27B-4393-9DF9-103AE3765106}"/>
    <hyperlink ref="C7" r:id="rId11" display="https://br.investing.com/crypto/usd-coin" xr:uid="{41DA9A89-608A-4FDA-B674-7F2C12E407DD}"/>
    <hyperlink ref="E7" r:id="rId12" display="https://br.investing.com/crypto/?c1=1869&amp;c2=12" xr:uid="{7D960E77-47AE-46E0-95E6-D6B6DE432640}"/>
    <hyperlink ref="C8" r:id="rId13" display="https://br.investing.com/crypto/cardano" xr:uid="{1E5F9565-5B92-4DF8-866F-25A7E5A595F9}"/>
    <hyperlink ref="E8" r:id="rId14" display="https://br.investing.com/crypto/?c1=302&amp;c2=12" xr:uid="{8AEB1A9B-7622-4B3D-8B67-CCA98359AF75}"/>
    <hyperlink ref="C9" r:id="rId15" display="https://br.investing.com/crypto/dogecoin" xr:uid="{F28E1328-D0D3-4B15-BD4E-603CA3AE354E}"/>
    <hyperlink ref="E9" r:id="rId16" display="https://br.investing.com/crypto/?c1=231&amp;c2=12" xr:uid="{449CCA11-2CE2-4352-A572-AAFBC5D15982}"/>
    <hyperlink ref="C10" r:id="rId17" display="https://br.investing.com/crypto/solana" xr:uid="{8683A689-34F1-43F0-B08E-511A49C20F74}"/>
    <hyperlink ref="E10" r:id="rId18" display="https://br.investing.com/crypto/?c1=1995&amp;c2=12" xr:uid="{85F7513B-81F3-4824-80A7-BFB6521077C1}"/>
    <hyperlink ref="C11" r:id="rId19" display="https://br.investing.com/crypto/tron" xr:uid="{530919AF-3DF0-43F7-924E-D632BBA1F615}"/>
    <hyperlink ref="E11" r:id="rId20" display="https://br.investing.com/crypto/?c1=295&amp;c2=12" xr:uid="{8586DA3A-5C34-47AB-9E4E-135D2E4AF21B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Criação de MACRO - Cadastro</vt:lpstr>
      <vt:lpstr>Carteira de Clientes</vt:lpstr>
      <vt:lpstr>Valor Criptomoeda</vt:lpstr>
      <vt:lpstr>'Valor Criptomoeda'!crypto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Paulo Ferreira Martins</dc:creator>
  <cp:lastModifiedBy>Ramon</cp:lastModifiedBy>
  <dcterms:created xsi:type="dcterms:W3CDTF">2015-06-05T18:17:20Z</dcterms:created>
  <dcterms:modified xsi:type="dcterms:W3CDTF">2023-08-22T21:48:21Z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2023-08-18T02:04:41Z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b65a422d-e2b4-4cd0-953b-2f6235560336</vt:lpwstr>
  </property>
  <property fmtid="{D5CDD505-2E9C-101B-9397-08002B2CF9AE}" pid="7" name="MSIP_Label_defa4170-0d19-0005-0004-bc88714345d2_ActionId">
    <vt:lpwstr>037163c9-4252-4888-bd55-8a8cc674aca6</vt:lpwstr>
  </property>
  <property fmtid="{D5CDD505-2E9C-101B-9397-08002B2CF9AE}" pid="8" name="MSIP_Label_defa4170-0d19-0005-0004-bc88714345d2_ContentBits">
    <vt:lpwstr>0</vt:lpwstr>
  </property>
</Properties>
</file>